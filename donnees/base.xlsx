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èse" sheetId="1" r:id="rId4"/>
    <sheet state="visible" name="Cavistes" sheetId="2" r:id="rId5"/>
    <sheet state="visible" name="Bars à vin" sheetId="3" r:id="rId6"/>
    <sheet state="visible" name="Traiteurs" sheetId="4" r:id="rId7"/>
    <sheet state="visible" name="Épiceries fines" sheetId="5" r:id="rId8"/>
    <sheet state="visible" name="Restaurants gastronomiques" sheetId="6" r:id="rId9"/>
    <sheet state="visible" name="Restaurants" sheetId="7" r:id="rId10"/>
    <sheet state="visible" name="Hôtels" sheetId="8" r:id="rId11"/>
    <sheet state="visible" name="Sommeliers Médias Clubs Écoles" sheetId="9" r:id="rId12"/>
  </sheets>
  <definedNames>
    <definedName hidden="1" localSheetId="2" name="_xlnm._FilterDatabase">'Bars à vin'!$A$1:$O$120</definedName>
    <definedName hidden="1" localSheetId="5" name="_xlnm._FilterDatabase">'Restaurants gastronomiques'!$A$1:$O$79</definedName>
  </definedNames>
  <calcPr/>
  <extLst>
    <ext uri="GoogleSheetsCustomDataVersion2">
      <go:sheetsCustomData xmlns:go="http://customooxmlschemas.google.com/" r:id="rId13" roundtripDataChecksum="P8YJNKh85692BRG5+cWRD62VhMtUxs9HbK5xG/+unmE="/>
    </ext>
  </extLst>
</workbook>
</file>

<file path=xl/sharedStrings.xml><?xml version="1.0" encoding="utf-8"?>
<sst xmlns="http://schemas.openxmlformats.org/spreadsheetml/2006/main" count="14095" uniqueCount="7910">
  <si>
    <t>JOURNÉE DÉGUSTATION — 5 OCTOBRE 2026 · BASE DE PROSPECTION</t>
  </si>
  <si>
    <t>Cave 1842</t>
  </si>
  <si>
    <t>Départements 44 · 49 · 53 · 56 · 85 · 35 — cavistes indépendants, restaurants de qualité, traiteurs, bars à vin, hôtels 3★+, sommeliers, médias, clubs œnologie</t>
  </si>
  <si>
    <t>Nom</t>
  </si>
  <si>
    <t>CONTACTS EMAIL UNIQUES (hors écartés)</t>
  </si>
  <si>
    <t>Type</t>
  </si>
  <si>
    <t>Détail par département et catégorie</t>
  </si>
  <si>
    <t>Loire-Atlantique (44)</t>
  </si>
  <si>
    <t>Département</t>
  </si>
  <si>
    <t>Priorité</t>
  </si>
  <si>
    <t>Cavistes</t>
  </si>
  <si>
    <t>Bars à vin</t>
  </si>
  <si>
    <t>Ville</t>
  </si>
  <si>
    <t>Traiteurs</t>
  </si>
  <si>
    <t>CP</t>
  </si>
  <si>
    <t>Épiceries fines</t>
  </si>
  <si>
    <t>Gastro</t>
  </si>
  <si>
    <t>Dépt</t>
  </si>
  <si>
    <t>Pas d'effectif donc pas dispo</t>
  </si>
  <si>
    <t>Restaurants</t>
  </si>
  <si>
    <t>Email</t>
  </si>
  <si>
    <t>Hôtels</t>
  </si>
  <si>
    <t>Email 2</t>
  </si>
  <si>
    <t>TOTAL</t>
  </si>
  <si>
    <t>Téléphone</t>
  </si>
  <si>
    <t>Bubar</t>
  </si>
  <si>
    <t>Site web</t>
  </si>
  <si>
    <t>Gérant(s)</t>
  </si>
  <si>
    <t>bonjour@bubarnantes.fr</t>
  </si>
  <si>
    <t>Société (registre)</t>
  </si>
  <si>
    <t>+33 9 81 19 77 05</t>
  </si>
  <si>
    <t>Création</t>
  </si>
  <si>
    <t>Stephane Guy Blanc</t>
  </si>
  <si>
    <t>Maine-et-Loire (49)</t>
  </si>
  <si>
    <t>Note</t>
  </si>
  <si>
    <t>Source</t>
  </si>
  <si>
    <t>Cave de la Chapelle</t>
  </si>
  <si>
    <t>Mayenne (53)</t>
  </si>
  <si>
    <t>contact@lacavedelachapelle.fr</t>
  </si>
  <si>
    <t>+33 2 40 49 42 75</t>
  </si>
  <si>
    <t>La Charbo</t>
  </si>
  <si>
    <t>Gilbert Leon Joseph Bossard</t>
  </si>
  <si>
    <t>Morbihan (56)</t>
  </si>
  <si>
    <t>Chai La Serre</t>
  </si>
  <si>
    <t>Bar à vin / bistrot</t>
  </si>
  <si>
    <t>chailaserre@gmail.com</t>
  </si>
  <si>
    <t>A</t>
  </si>
  <si>
    <t>Vendée (85)</t>
  </si>
  <si>
    <t>+33 7 64 15 68 03</t>
  </si>
  <si>
    <t>Ancenis-Saint-Gereon</t>
  </si>
  <si>
    <t>Antoine Hevin</t>
  </si>
  <si>
    <t>44150</t>
  </si>
  <si>
    <t>Ille-et-Vilaine (35)</t>
  </si>
  <si>
    <t>lacharboancenis@gmail.com</t>
  </si>
  <si>
    <t>Foudre</t>
  </si>
  <si>
    <t>02 51 14 16 22</t>
  </si>
  <si>
    <t>contact@foudre.vin</t>
  </si>
  <si>
    <t>+33 2 28 49 60 06</t>
  </si>
  <si>
    <t>Johann Vielle</t>
  </si>
  <si>
    <t>LA CHARBO</t>
  </si>
  <si>
    <t>Bruno Alexandre Pinto Ferreira &amp; Patrice Sylvain Jean Gouraud</t>
  </si>
  <si>
    <t>2022</t>
  </si>
  <si>
    <t>Bistrot / bar à vin</t>
  </si>
  <si>
    <t>La Cave Jules Verne</t>
  </si>
  <si>
    <t>RPDL</t>
  </si>
  <si>
    <t>Priorité A (cavistes, gastro, bars à vin, traiteurs, 4★+)</t>
  </si>
  <si>
    <t>cavejulesverne@gmail.com</t>
  </si>
  <si>
    <t>+33 2 51 89 97 52</t>
  </si>
  <si>
    <t>Vincent</t>
  </si>
  <si>
    <t>Vincent Dominique Claude Becam</t>
  </si>
  <si>
    <t>Envoyer liste</t>
  </si>
  <si>
    <t>Mademoiselle Vin</t>
  </si>
  <si>
    <t>La Cave des Salines</t>
  </si>
  <si>
    <t>Comptages figés à la date d'export du fichier (18/07/2026).</t>
  </si>
  <si>
    <t>Bar à vin / cave-bar</t>
  </si>
  <si>
    <t>lacavedessalines@orange.fr</t>
  </si>
  <si>
    <t>+33 2 51 18 01 39</t>
  </si>
  <si>
    <t xml:space="preserve">Transmet au patrons </t>
  </si>
  <si>
    <t>Bouaye</t>
  </si>
  <si>
    <t>44830</t>
  </si>
  <si>
    <t>La Cave du Héron</t>
  </si>
  <si>
    <t>mademoisellevin.mc@gmail.com</t>
  </si>
  <si>
    <t>caveduheron@milleetunvins.fr</t>
  </si>
  <si>
    <t>+33 2 51 82 84 20</t>
  </si>
  <si>
    <t>Malo Le Coarer</t>
  </si>
  <si>
    <t>+33 2 28 91 15 54</t>
  </si>
  <si>
    <t>Message laisser sur la messagerie</t>
  </si>
  <si>
    <t>Marion Mareva Calme</t>
  </si>
  <si>
    <t>MADEMOISELLE VIN</t>
  </si>
  <si>
    <t>La Muscadetterie (cave)</t>
  </si>
  <si>
    <t>(sans nom)</t>
  </si>
  <si>
    <t>contact@lamuscadetterie.fr</t>
  </si>
  <si>
    <t>OSM</t>
  </si>
  <si>
    <t>+33 6 66 03 69 00</t>
  </si>
  <si>
    <t>Traiteur</t>
  </si>
  <si>
    <t>La Vinothèque</t>
  </si>
  <si>
    <t>BINHOUSE BAR CAVE RESTAURANT</t>
  </si>
  <si>
    <t>lavinothequedenantes@gmail.com</t>
  </si>
  <si>
    <t>Bar à vin / cave</t>
  </si>
  <si>
    <t>+33 9 81 90 10 71</t>
  </si>
  <si>
    <t>Chateaubriant</t>
  </si>
  <si>
    <t>Geoffroy Dupuy</t>
  </si>
  <si>
    <t>44110</t>
  </si>
  <si>
    <t xml:space="preserve">Envoyer liste </t>
  </si>
  <si>
    <t>lemarmiton.marsac@gmail.com</t>
  </si>
  <si>
    <t>contact.chateaubriant@bihouse.fr</t>
  </si>
  <si>
    <t>La cave de Benoît</t>
  </si>
  <si>
    <t>09 555 44110</t>
  </si>
  <si>
    <t>Ludovic Jacques Carlier &amp; Arnaud Delaunay</t>
  </si>
  <si>
    <t>contact@lacavedebenoit.fr</t>
  </si>
  <si>
    <t>DECABRE (BINHOUSE)</t>
  </si>
  <si>
    <t>+33 2 40 59 73 42</t>
  </si>
  <si>
    <t>Benoit</t>
  </si>
  <si>
    <t>2023</t>
  </si>
  <si>
    <t>Vincent Cave &amp; Benoit Thierry</t>
  </si>
  <si>
    <t>Café des Cordeliers</t>
  </si>
  <si>
    <t>MODE D'EMPLOI</t>
  </si>
  <si>
    <t>La CAVE DE LONGCHAMP</t>
  </si>
  <si>
    <t>Clisson</t>
  </si>
  <si>
    <t>44190</t>
  </si>
  <si>
    <t>lescordeliers.co@gmail.com</t>
  </si>
  <si>
    <t>• Tri : catégorie (cavistes, puis bars à vin, en tête) → département en toutes lettres, ordre Loire (44 en premier) → ville.</t>
  </si>
  <si>
    <t>02 40 03 86 53</t>
  </si>
  <si>
    <t>Élodie Poirier</t>
  </si>
  <si>
    <t>• Une ligne vide sépare chaque bloc de département dans les tableaux, pour repérer les départements plus vite.</t>
  </si>
  <si>
    <t>accueil@cave-de-longchamp.com</t>
  </si>
  <si>
    <t>POIRIER &amp; CO (CAFE DES CORDELIERS)</t>
  </si>
  <si>
    <t>+33 2 40 59 13 14</t>
  </si>
  <si>
    <t>Guide du Routard Pays de la Loire</t>
  </si>
  <si>
    <t>• 100 % des lignes ont un email vérifié (syntaxe) et dédupliqué. Les établissements sans email publié ne sont pas listés.</t>
  </si>
  <si>
    <t>Dominique Joly</t>
  </si>
  <si>
    <t>Cave Granit</t>
  </si>
  <si>
    <t>• Priorité A = à contacter en premier (cœur de cible vin). B = tables traditionnelles/brasseries/hôtels 3★.</t>
  </si>
  <si>
    <t>Les Coteaux de Talensac</t>
  </si>
  <si>
    <t>• Colonne Gérant(s)/Société : registre national des entreprises (recherche-entreprises.api.gouv.fr) — vérifier si mention (à vérifier).</t>
  </si>
  <si>
    <t>cavegranit@gmail.com</t>
  </si>
  <si>
    <t>• Personnalisation : utiliser Type + Note (guides Michelin/Gault&amp;Millau, cuisine) + Gérant + Ville dans le mail.</t>
  </si>
  <si>
    <t>0975501781</t>
  </si>
  <si>
    <t>contact@cavesdescoteaux.fr</t>
  </si>
  <si>
    <t>+33 2 40 48 00 06</t>
  </si>
  <si>
    <t>• RGPD/CNIL (B2B) : licite en opt-out si le message concerne leur activité pro + lien de désinscription obligatoire + mentionner la source du contact.</t>
  </si>
  <si>
    <t>Sebastien Leclerc</t>
  </si>
  <si>
    <t>• Envoi : ne PAS envoyer 2000 mails depuis Gmail (blocage ~500/j). Utiliser Brevo/Mailjet avec un domaine pro (SPF/DKIM), étaler sur 5-10 jours, 1 relance.</t>
  </si>
  <si>
    <t>Les Papas Brasseurs</t>
  </si>
  <si>
    <t>Pinard</t>
  </si>
  <si>
    <t>• Sources données : OpenStreetMap (ODbL), Région Pays de la Loire (open data tourisme), sites des établissements, annuaires publics.</t>
  </si>
  <si>
    <t>pinardnantes@gmail.com</t>
  </si>
  <si>
    <t>+33 9 88 53 72 35</t>
  </si>
  <si>
    <t>lespapasbrasseurs@gmail.com</t>
  </si>
  <si>
    <t>https://www.traiteur-marsac.com/</t>
  </si>
  <si>
    <t>Anne Marie Josephe Pinard (David) &amp; Jean-Yves Pinard</t>
  </si>
  <si>
    <t>02 28 02 66 94</t>
  </si>
  <si>
    <t>Benjamin Victor Boiveau &amp; Julien James Eon-Jeammes (Eon)</t>
  </si>
  <si>
    <t>LES PAPAS BRASSEURS</t>
  </si>
  <si>
    <t>Tapage</t>
  </si>
  <si>
    <t>2020</t>
  </si>
  <si>
    <t>coucou@tapage-nantes.fr</t>
  </si>
  <si>
    <t>MAD, bar à vins et pizzeria</t>
  </si>
  <si>
    <t>+33 7 80 97 90 17</t>
  </si>
  <si>
    <t>Valentin Fetiveau</t>
  </si>
  <si>
    <t>contact@madclisson.fr</t>
  </si>
  <si>
    <t>Terres d'Arômes</t>
  </si>
  <si>
    <t>caveterresdaromes@gmail.com</t>
  </si>
  <si>
    <t>+33 2 40 58 22 31</t>
  </si>
  <si>
    <t>Mets entre Potes</t>
  </si>
  <si>
    <t>pas de moyen de déplacement</t>
  </si>
  <si>
    <t>metsentrepotes@gmail.com</t>
  </si>
  <si>
    <t>02 40 71 66 68</t>
  </si>
  <si>
    <t>Saveur et potager</t>
  </si>
  <si>
    <t>LA CROIX MORZEL</t>
  </si>
  <si>
    <t>Cordemais</t>
  </si>
  <si>
    <t>44360</t>
  </si>
  <si>
    <t>cafecroixmorzel@gmail.com</t>
  </si>
  <si>
    <t>02 40 57 86 59</t>
  </si>
  <si>
    <t>Andre Louis Yves Durand</t>
  </si>
  <si>
    <t>SCI CROIX DE MORZEL</t>
  </si>
  <si>
    <t>2002</t>
  </si>
  <si>
    <t>L'Entre-2-Ponts</t>
  </si>
  <si>
    <t>Divatte-Sur-Loire</t>
  </si>
  <si>
    <t>44450</t>
  </si>
  <si>
    <t>contact@entre2ponts.com</t>
  </si>
  <si>
    <t>0240578149</t>
  </si>
  <si>
    <t>saveurs.potager@gmail.com</t>
  </si>
  <si>
    <t>Claire-Pascale Boccou</t>
  </si>
  <si>
    <t>ENTRE 2 PONTS (ENTRE 2 PONTS)</t>
  </si>
  <si>
    <t>Anna et Julien</t>
  </si>
  <si>
    <t xml:space="preserve">Va regarder ça </t>
  </si>
  <si>
    <t>Brut - Bar à vins</t>
  </si>
  <si>
    <t>Vins et Indépendance</t>
  </si>
  <si>
    <t>Getigne</t>
  </si>
  <si>
    <t>ASSYA TRAITEUR</t>
  </si>
  <si>
    <t>contact@vins-independance.com</t>
  </si>
  <si>
    <t>restaurant.brut.getigne@gmail.com</t>
  </si>
  <si>
    <t>Saint-Nazaire</t>
  </si>
  <si>
    <t>+33 2 40 63 46 94</t>
  </si>
  <si>
    <t>02 40 13 25 57</t>
  </si>
  <si>
    <t>Veut la liste des vins</t>
  </si>
  <si>
    <t>assyatraiteur@gmail.com</t>
  </si>
  <si>
    <t>Les Tables de Nantes | email partagé avec: Restaurant Brut</t>
  </si>
  <si>
    <t>Cave de la belle étoile</t>
  </si>
  <si>
    <t>La Cabane à mousse Clisson-Gétigné</t>
  </si>
  <si>
    <t>Auberge Le Vieux Cellier - Restaurant / Traiteur</t>
  </si>
  <si>
    <t>Nathalie</t>
  </si>
  <si>
    <t>Le Cellier</t>
  </si>
  <si>
    <t>lacabaneamousse@gmail.com</t>
  </si>
  <si>
    <t>Pas de fournisseur à elle donc ne viendra pas</t>
  </si>
  <si>
    <t>09 81 64 50 30</t>
  </si>
  <si>
    <t>aubergelevieuxcellier@orange.fr</t>
  </si>
  <si>
    <t>02 40 25 40 07</t>
  </si>
  <si>
    <t>fizet</t>
  </si>
  <si>
    <t>Cuisine traditionnelle | email partagé avec: Auberge le Vieux Cellier</t>
  </si>
  <si>
    <t>Les Vins d'Oleg</t>
  </si>
  <si>
    <t>contact@distilleriefizet.com</t>
  </si>
  <si>
    <t>Aux délices de Toutes-Aides</t>
  </si>
  <si>
    <t>Guerande</t>
  </si>
  <si>
    <t>+33 6 49 53 86 64</t>
  </si>
  <si>
    <t>44350</t>
  </si>
  <si>
    <t>Maxime Fabien Fizet</t>
  </si>
  <si>
    <t>vanderoleg@gmail.com</t>
  </si>
  <si>
    <t>contact@traiteur-toutesaides.fr</t>
  </si>
  <si>
    <t>09 50 87 19 75</t>
  </si>
  <si>
    <t>Cedric Vanderschaeghe</t>
  </si>
  <si>
    <t>Le Marché du Bois Jauni</t>
  </si>
  <si>
    <t>OLEG VINS 44 (LES VINS D'OLEG)</t>
  </si>
  <si>
    <t>Ancenis-Saint-Géréon</t>
  </si>
  <si>
    <t>2016</t>
  </si>
  <si>
    <t>O'Vignes restaurant</t>
  </si>
  <si>
    <t>lemarcheduboisjauni@orange.fr</t>
  </si>
  <si>
    <t>MArché de fruit</t>
  </si>
  <si>
    <t>https://www.traiteur-toutesaides.fr</t>
  </si>
  <si>
    <t>ovignesrestaurant@gmail.com</t>
  </si>
  <si>
    <t>Le Pressoir Saint Laurent</t>
  </si>
  <si>
    <t>02 40 23 79 38</t>
  </si>
  <si>
    <t>Blain</t>
  </si>
  <si>
    <t>44130</t>
  </si>
  <si>
    <t>lepressoirstlaurent@orange.fr</t>
  </si>
  <si>
    <t>Restaurant le Vigneron</t>
  </si>
  <si>
    <t>Haute-Goulaine</t>
  </si>
  <si>
    <t>44115</t>
  </si>
  <si>
    <t>hoteldelalouee@wanadoo.fr</t>
  </si>
  <si>
    <t>La Cave les Caudalies</t>
  </si>
  <si>
    <t>02 40 54 90 69</t>
  </si>
  <si>
    <t>SARL UNIPERS RESTAURANT LE VIGNERON</t>
  </si>
  <si>
    <t>1989</t>
  </si>
  <si>
    <t>LA CABANE A MALT</t>
  </si>
  <si>
    <t>Heric</t>
  </si>
  <si>
    <t>44810</t>
  </si>
  <si>
    <t>bistrot@lacabanedelerette.fr</t>
  </si>
  <si>
    <t>cavelescaudalies.blain@gmail.com</t>
  </si>
  <si>
    <t>02 28 05 35 91</t>
  </si>
  <si>
    <t>CHAI ALEX</t>
  </si>
  <si>
    <t>La Chevroliere</t>
  </si>
  <si>
    <t>44118</t>
  </si>
  <si>
    <t>Boucherie Rabouin</t>
  </si>
  <si>
    <t>nabalex44118@gmail.com</t>
  </si>
  <si>
    <t>07 87 61 28 15</t>
  </si>
  <si>
    <t>02 28 91 15 54</t>
  </si>
  <si>
    <t>Nort-Sur-Erdre</t>
  </si>
  <si>
    <t>Alexandre Jeziorowski</t>
  </si>
  <si>
    <t>NABALEX (CHAI ALEX)</t>
  </si>
  <si>
    <t>traiteur.rabouin@orange.fr</t>
  </si>
  <si>
    <t>La Fille du Tonnelier</t>
  </si>
  <si>
    <t>Carquefou</t>
  </si>
  <si>
    <t>44470</t>
  </si>
  <si>
    <t>Le Petit Caveau</t>
  </si>
  <si>
    <t>contact@lafilledutonnelier.fr</t>
  </si>
  <si>
    <t>Le Croisic</t>
  </si>
  <si>
    <t>44490</t>
  </si>
  <si>
    <t>Obiervin</t>
  </si>
  <si>
    <t>Châteaubriant</t>
  </si>
  <si>
    <t>https://www.traiteur-rabouin.fr/</t>
  </si>
  <si>
    <t>agnestephane@gmail.com</t>
  </si>
  <si>
    <t>02 40 42 43 68</t>
  </si>
  <si>
    <t>contact@obiervin.fr</t>
  </si>
  <si>
    <t>Christine Gueber</t>
  </si>
  <si>
    <t>02 40 28 27 38 ou 07 89 98 47 57</t>
  </si>
  <si>
    <t>GUEBER - LE PETIT CAVEAU (LE PETIT CAVEAU)</t>
  </si>
  <si>
    <t>Jean François</t>
  </si>
  <si>
    <t>2017</t>
  </si>
  <si>
    <t>Jean François Guittiere</t>
  </si>
  <si>
    <t>La Cave de Guemene</t>
  </si>
  <si>
    <t>L'Esplanade Hôtel · Restaurant · Bar à vin</t>
  </si>
  <si>
    <t>Guémené-Penfao</t>
  </si>
  <si>
    <t>44290</t>
  </si>
  <si>
    <t>cave.guemene@gmail.com</t>
  </si>
  <si>
    <t>Le Pellerin</t>
  </si>
  <si>
    <t>44640</t>
  </si>
  <si>
    <t>Sébastien</t>
  </si>
  <si>
    <t xml:space="preserve">Envoyer le mail </t>
  </si>
  <si>
    <t>contact@hotel-lesplanade.fr</t>
  </si>
  <si>
    <t>+332 40 04 68 14</t>
  </si>
  <si>
    <t>Le Vistamboir</t>
  </si>
  <si>
    <t>https://hotel-lesplanade.fr</t>
  </si>
  <si>
    <t>Guérande</t>
  </si>
  <si>
    <t>dborg@hotmail.fr</t>
  </si>
  <si>
    <t>hôtel-restaurant french;breakfast;brunch;regional | email partagé avec: L'ESPLANADE HÔTEL · RESTAURANT · BAR A VIN</t>
  </si>
  <si>
    <t>OSM + RPDL</t>
  </si>
  <si>
    <t>Ne veulent pas fermer le lundi</t>
  </si>
  <si>
    <t>Cave et Bar à vin - Rezhin</t>
  </si>
  <si>
    <t>Mesquer</t>
  </si>
  <si>
    <t>Les Chais Saint François</t>
  </si>
  <si>
    <t>44420</t>
  </si>
  <si>
    <t>rezhin44420@gmail.com</t>
  </si>
  <si>
    <t>Mr Guillemot</t>
  </si>
  <si>
    <t>09 85 07 76 36</t>
  </si>
  <si>
    <t>A Reçu le mail le transmet au patron</t>
  </si>
  <si>
    <t xml:space="preserve">cave de monsieur hulot </t>
  </si>
  <si>
    <t>Saint Marc</t>
  </si>
  <si>
    <t>Geraldine Gisele Monique Amerand &amp; Bruno Rabouin</t>
  </si>
  <si>
    <t>BOUCHERIE RABOUIN ET FILS</t>
  </si>
  <si>
    <t>lacavedemonsieurhulot@gmail.com</t>
  </si>
  <si>
    <t>LA COMÉDIE DES VINS</t>
  </si>
  <si>
    <t>Berthrand</t>
  </si>
  <si>
    <t>Nantes</t>
  </si>
  <si>
    <t>Brison</t>
  </si>
  <si>
    <t>44000</t>
  </si>
  <si>
    <t>lacomediedesvins@hotmail.fr</t>
  </si>
  <si>
    <t>L'Epicerie Bauloise</t>
  </si>
  <si>
    <t>La Baule-Escoublac</t>
  </si>
  <si>
    <t>02 40 73 11 68</t>
  </si>
  <si>
    <t>contact@brisontraiteur.com</t>
  </si>
  <si>
    <t>44500</t>
  </si>
  <si>
    <t>Cecile Isabelle Roberte Chambon (Annet) &amp; Emeric Chambon</t>
  </si>
  <si>
    <t>LA COMEDIE DES VINS</t>
  </si>
  <si>
    <t>ameliedevaublanc@gmail.com</t>
  </si>
  <si>
    <t>2008</t>
  </si>
  <si>
    <t>Gault Millau,Guide du Routard Pays de la Loire</t>
  </si>
  <si>
    <t>Vacance donc pas possible</t>
  </si>
  <si>
    <t>LES TERRASSES DE L'ERDRE</t>
  </si>
  <si>
    <t>La Cave d'Escoublac</t>
  </si>
  <si>
    <t>44300</t>
  </si>
  <si>
    <t>la-cave-descoublac@orange.fr</t>
  </si>
  <si>
    <t>contact@lesterrassesdelerdre.fr</t>
  </si>
  <si>
    <t>https://www.brisontraiteur.com</t>
  </si>
  <si>
    <t>Mr et Mme Tessier</t>
  </si>
  <si>
    <t>Christophe Michel Raymond Audrain &amp; Kilian Charles Oger</t>
  </si>
  <si>
    <t>LES TERRASSES DE L'ERDRE (à vérifier)</t>
  </si>
  <si>
    <t>2025</t>
  </si>
  <si>
    <t>Les Tables de Nantes</t>
  </si>
  <si>
    <t>Vigne et Fourchette</t>
  </si>
  <si>
    <t>Le Café du Hâvre</t>
  </si>
  <si>
    <t>Oudon</t>
  </si>
  <si>
    <t>44521</t>
  </si>
  <si>
    <t>lecafeduhavre@gmail.com</t>
  </si>
  <si>
    <t>02 40 09 57 25</t>
  </si>
  <si>
    <t>SARL CAFE DU HAVRE</t>
  </si>
  <si>
    <t>1992</t>
  </si>
  <si>
    <t>contact@vigneetfourchette</t>
  </si>
  <si>
    <t>LES RAFFINÉS</t>
  </si>
  <si>
    <t>02 40 53 86 36</t>
  </si>
  <si>
    <t>Romain et Julien</t>
  </si>
  <si>
    <t>Paimboeuf</t>
  </si>
  <si>
    <t>44560</t>
  </si>
  <si>
    <t>cavelesflacons@gmail.com</t>
  </si>
  <si>
    <t>Cave Vins sur Vins</t>
  </si>
  <si>
    <t>06 08 54 08 72</t>
  </si>
  <si>
    <t>La Chapelle-Sur-Erdre</t>
  </si>
  <si>
    <t>Caboisse Pierre Jacques Raffin</t>
  </si>
  <si>
    <t>BRISON</t>
  </si>
  <si>
    <t>44240</t>
  </si>
  <si>
    <t>CABOISSE RAFFIN (à vérifier)</t>
  </si>
  <si>
    <t>2005</t>
  </si>
  <si>
    <t>Pudlowski</t>
  </si>
  <si>
    <t>lachapelle@vins-nantes.fr</t>
  </si>
  <si>
    <t>Christophe Drouillet Chef à domicile Traiteur</t>
  </si>
  <si>
    <t>02 40 29 70 71</t>
  </si>
  <si>
    <t>L'ENTREPÔT 16</t>
  </si>
  <si>
    <t>Mr Delavaud</t>
  </si>
  <si>
    <t>Didier Delavaud (fondateur, site web)</t>
  </si>
  <si>
    <t>Pont-Saint-Martin</t>
  </si>
  <si>
    <t>44860</t>
  </si>
  <si>
    <t>christophedrouilletevenement@gmail.com</t>
  </si>
  <si>
    <t>boiteapintes@yahoo.com</t>
  </si>
  <si>
    <t>Cave des Chemins Gourmands</t>
  </si>
  <si>
    <t>06 31 80 89 18</t>
  </si>
  <si>
    <t>Le Loroux-Bottereau</t>
  </si>
  <si>
    <t>Stephanie Dos Santos</t>
  </si>
  <si>
    <t>44430</t>
  </si>
  <si>
    <t>BOITE A PINTES (SEKHMET)</t>
  </si>
  <si>
    <t>2019</t>
  </si>
  <si>
    <t>cavecheminsgourmand@orange.fr</t>
  </si>
  <si>
    <t>tel:0240475595</t>
  </si>
  <si>
    <t>Citrus</t>
  </si>
  <si>
    <t>Catalogue envoyé</t>
  </si>
  <si>
    <t>Causette - Bar à vins et tapas</t>
  </si>
  <si>
    <t>Le Garage à Vins</t>
  </si>
  <si>
    <t>Le Pouliguen</t>
  </si>
  <si>
    <t>Pornic</t>
  </si>
  <si>
    <t>44510</t>
  </si>
  <si>
    <t>citruscaferestaurant@gmail.com</t>
  </si>
  <si>
    <t>44210</t>
  </si>
  <si>
    <t>legarageavins@gmail.com</t>
  </si>
  <si>
    <t>contact@lecomptoirgali.fr</t>
  </si>
  <si>
    <t>02 40 70 49 85</t>
  </si>
  <si>
    <t>02 51 18 16 40</t>
  </si>
  <si>
    <t xml:space="preserve">Basile </t>
  </si>
  <si>
    <t xml:space="preserve">Ne peut pas se déplacer </t>
  </si>
  <si>
    <t>Millesimes et Gourmandises</t>
  </si>
  <si>
    <t>LE 21 - Bar à vins et à manger</t>
  </si>
  <si>
    <t>Legé</t>
  </si>
  <si>
    <t>https://citruscaferestaurant.fr</t>
  </si>
  <si>
    <t>44650</t>
  </si>
  <si>
    <t>millesimesetgourmandises@gmail.com</t>
  </si>
  <si>
    <t>le21-pornic@orange.fr</t>
  </si>
  <si>
    <t>07 62 95 82 26</t>
  </si>
  <si>
    <t>02 51 18 15 95</t>
  </si>
  <si>
    <t>Fréderic</t>
  </si>
  <si>
    <t>Fréderic Grassineau</t>
  </si>
  <si>
    <t>Gault Millau,Le petit futé,Michelin</t>
  </si>
  <si>
    <t>La Cave de Kerwall</t>
  </si>
  <si>
    <t>Cave Le Bidule</t>
  </si>
  <si>
    <t>Malville</t>
  </si>
  <si>
    <t>44260</t>
  </si>
  <si>
    <t>Pornichet</t>
  </si>
  <si>
    <t>brbaudy@wanadoo.fr</t>
  </si>
  <si>
    <t>44380</t>
  </si>
  <si>
    <t>+33 2 40 56 06 42</t>
  </si>
  <si>
    <t>Laurene Corre (Chevalier) &amp; Camille Nozieres</t>
  </si>
  <si>
    <t>lebidulepornichet@orange.fr</t>
  </si>
  <si>
    <t>CITRUS</t>
  </si>
  <si>
    <t>Bruno Albert Louis Baudy</t>
  </si>
  <si>
    <t>02 40 61 03 54</t>
  </si>
  <si>
    <t>CK Traiteur</t>
  </si>
  <si>
    <t>La Cave et Vous</t>
  </si>
  <si>
    <t>Mouzillon</t>
  </si>
  <si>
    <t>44330</t>
  </si>
  <si>
    <t>CORNER'S</t>
  </si>
  <si>
    <t>contact@cktraiteur.com</t>
  </si>
  <si>
    <t>lacaveetvous@yahoo.fr</t>
  </si>
  <si>
    <t>02 40 08 24 62</t>
  </si>
  <si>
    <t>Saint-Brevin-Les-Pins</t>
  </si>
  <si>
    <t>tel:0966809202</t>
  </si>
  <si>
    <t>44250</t>
  </si>
  <si>
    <t>Sarl Phoenix</t>
  </si>
  <si>
    <t>corners.pubrestaurant@gmail.com</t>
  </si>
  <si>
    <t>A raccroché avant même d'avoir écouté</t>
  </si>
  <si>
    <t>02 28 53 34 13</t>
  </si>
  <si>
    <t>CK TRAITEUR (CK TRAITEUR) (à vérifier)</t>
  </si>
  <si>
    <t>Eric Jean Patrick Bodinier &amp; Deborah Duces-Lasbats (Duces)</t>
  </si>
  <si>
    <t>Cave SPI &amp; BI</t>
  </si>
  <si>
    <t>BODULAS (à vérifier)</t>
  </si>
  <si>
    <t>COCHON À LA FRANÇAISE : CHARCUTIER - TRAITEUR</t>
  </si>
  <si>
    <t>abc3ladmirault@yahoo.com</t>
  </si>
  <si>
    <t>+33 2 55 54 79 80</t>
  </si>
  <si>
    <t>LES CO'PINS</t>
  </si>
  <si>
    <t>Crémerie Saint-Do' &amp; Cave</t>
  </si>
  <si>
    <t>garnaudsullivan@outlook.fr</t>
  </si>
  <si>
    <t>nath.houalet@gmail.com</t>
  </si>
  <si>
    <t>02 40 27 22 88</t>
  </si>
  <si>
    <t>02 28 52 35 52</t>
  </si>
  <si>
    <t>Mélanie Le Corre (Duverger) &amp; Sébastien Le Corre</t>
  </si>
  <si>
    <t>cremeriestdo@gmail.com</t>
  </si>
  <si>
    <t>ZESTA LC (LES CO'PINS)</t>
  </si>
  <si>
    <t>LE RÉTRO</t>
  </si>
  <si>
    <t>L'Arbre à Bouteilles</t>
  </si>
  <si>
    <t>epikur</t>
  </si>
  <si>
    <t>Saint-Etienne-De-Montluc</t>
  </si>
  <si>
    <t>larbreabouteilles@gmail.com</t>
  </si>
  <si>
    <t>sarlarchambaud44360@wanadoo.fr</t>
  </si>
  <si>
    <t>Gaëtan</t>
  </si>
  <si>
    <t>02 40 86 93 32</t>
  </si>
  <si>
    <t>contact@epikur.fr</t>
  </si>
  <si>
    <t>A vu le mail verra ce qu'il en fait</t>
  </si>
  <si>
    <t>Alain Francois Rene Archambaud</t>
  </si>
  <si>
    <t>EURL LE RETRO</t>
  </si>
  <si>
    <t>2010</t>
  </si>
  <si>
    <t>La Cave de Longchamp</t>
  </si>
  <si>
    <t>Le Marchand de Vin (Le M)</t>
  </si>
  <si>
    <t>djoly@cave-de-longchamp.com</t>
  </si>
  <si>
    <t>restaurant.lemarchanddevin@gmail.com</t>
  </si>
  <si>
    <t>https://www.epikur.fr</t>
  </si>
  <si>
    <t>La Part des Anges</t>
  </si>
  <si>
    <t>02 40 43 57 22</t>
  </si>
  <si>
    <t>Marinne S'interresse à cotes du rhone</t>
  </si>
  <si>
    <t>Restaurant Au Pont Divin</t>
  </si>
  <si>
    <t>Saint-Julien-De-Concelles</t>
  </si>
  <si>
    <r>
      <rPr>
        <rFont val="&quot;Aptos Narrow&quot;, sans-serif"/>
        <color rgb="FF1155CC"/>
        <sz val="11.0"/>
        <u/>
      </rPr>
      <t>lapartdesangeslacave@gmail,com</t>
    </r>
  </si>
  <si>
    <t>resto@aupontdivin.com</t>
  </si>
  <si>
    <t>02 72 60 89 53</t>
  </si>
  <si>
    <t>Le petit futé</t>
  </si>
  <si>
    <t>Ambre Le Roux &amp; Ambre Alexandra Le Roux</t>
  </si>
  <si>
    <t>EPIKUR (EPIKUR)</t>
  </si>
  <si>
    <t>ANTRE POTE'S</t>
  </si>
  <si>
    <t>benoit</t>
  </si>
  <si>
    <t xml:space="preserve">Envoyer liste à ce mail : lapartdesangeslacave@gmail,com
</t>
  </si>
  <si>
    <t>Ezope</t>
  </si>
  <si>
    <t>44600</t>
  </si>
  <si>
    <t>contact@vinidiss.com</t>
  </si>
  <si>
    <t>bonjour@ezope.fr</t>
  </si>
  <si>
    <t>02 40 17 62 87</t>
  </si>
  <si>
    <t>Les Caves du Beffroi - Lemaître</t>
  </si>
  <si>
    <t>Corinne Nicole Suzanne Praud &amp; Sebastien Souleyreau</t>
  </si>
  <si>
    <t>VINIDISS (ANTRE POTE'S)</t>
  </si>
  <si>
    <t>2013</t>
  </si>
  <si>
    <t>lemaitre.44@orange.fr</t>
  </si>
  <si>
    <t>BISTROT 88</t>
  </si>
  <si>
    <t>Cave à Evreux</t>
  </si>
  <si>
    <t>https://ezope-restaurant.com</t>
  </si>
  <si>
    <t>Magies</t>
  </si>
  <si>
    <t>88bistrot@gmail.com</t>
  </si>
  <si>
    <t>44100</t>
  </si>
  <si>
    <t>Laurent Sylvain Jean Clavery &amp; Christelle Catherine Aline Clavery (Gar</t>
  </si>
  <si>
    <t>SELEVENT (BISTROT 88)</t>
  </si>
  <si>
    <t>contact@lacavedu20.com</t>
  </si>
  <si>
    <t>2024</t>
  </si>
  <si>
    <t>Gilles Gratesac</t>
  </si>
  <si>
    <t>Renvoyer liste + mail va transmettre au patron</t>
  </si>
  <si>
    <t>LE CLOT MARGOT</t>
  </si>
  <si>
    <t>Les carmélites</t>
  </si>
  <si>
    <t>leclotmargot@gmail.com</t>
  </si>
  <si>
    <t>44200</t>
  </si>
  <si>
    <t>02 51 75 10 39</t>
  </si>
  <si>
    <t>cremeriedescarmelites@gmail.com</t>
  </si>
  <si>
    <t>Clotaire Laurent Rene Lucien Cotte &amp; Marjorie Sylviane Demellier</t>
  </si>
  <si>
    <t>Stéphane</t>
  </si>
  <si>
    <t>Sacré Vin</t>
  </si>
  <si>
    <t>R DU TEMPS</t>
  </si>
  <si>
    <t>contact@sacre-vin.fr</t>
  </si>
  <si>
    <t>contact@rdutempsbar.fr</t>
  </si>
  <si>
    <t>02 51 85 97 46</t>
  </si>
  <si>
    <t>02 51 75 01 75</t>
  </si>
  <si>
    <t>Melvyn Corentin Joseph Bernard</t>
  </si>
  <si>
    <t>BRISEIS</t>
  </si>
  <si>
    <t>2015</t>
  </si>
  <si>
    <t xml:space="preserve">ABC Terroirs </t>
  </si>
  <si>
    <t>Aude Eileen Stephane Marie Boissiere &amp; Antoine Kilian Lavarec</t>
  </si>
  <si>
    <t>THE WORK CHOPE</t>
  </si>
  <si>
    <t>EZOPE</t>
  </si>
  <si>
    <t>cave@abcterroirs.com</t>
  </si>
  <si>
    <t>09 86 22 05 28</t>
  </si>
  <si>
    <t>Samy</t>
  </si>
  <si>
    <t>GB Traiteur</t>
  </si>
  <si>
    <t>Samy et Davy</t>
  </si>
  <si>
    <t>legeaykev@gmail.com</t>
  </si>
  <si>
    <t>Villeneuve-En-Retz</t>
  </si>
  <si>
    <t>Kevin Legeay</t>
  </si>
  <si>
    <t>gbtraiteur@gmail.com</t>
  </si>
  <si>
    <t>2018</t>
  </si>
  <si>
    <t>B'MOUSSE</t>
  </si>
  <si>
    <t>Saint-Philbert-De-Grand-Lieu</t>
  </si>
  <si>
    <t>Cave Vins /20</t>
  </si>
  <si>
    <t>44310</t>
  </si>
  <si>
    <t>contact@bmousse.fr</t>
  </si>
  <si>
    <t>https://www.gbtraiteur.com/</t>
  </si>
  <si>
    <t>09 67 48 63 39</t>
  </si>
  <si>
    <t>cave.vin20@gmail.com</t>
  </si>
  <si>
    <t>02 52 10 67 94</t>
  </si>
  <si>
    <t>Anthony Paul Jean Brisson &amp; Julien Gerard Andre Brisson-Sauvaget</t>
  </si>
  <si>
    <t>Paul</t>
  </si>
  <si>
    <t>LA RICHESSE DES 4 MOUSSES</t>
  </si>
  <si>
    <t>2014</t>
  </si>
  <si>
    <t xml:space="preserve">Vino Vini </t>
  </si>
  <si>
    <t>MAISON LIQUIDE</t>
  </si>
  <si>
    <t>vinovini.nantes@wanadoo.fr</t>
  </si>
  <si>
    <t>02 40 69 06 66</t>
  </si>
  <si>
    <t>contact.liquide@gmail.com</t>
  </si>
  <si>
    <t>Mickaël, Pascal, Mathieu, Loïs</t>
  </si>
  <si>
    <t>06 82 76 06 29</t>
  </si>
  <si>
    <t>Domaine du Vigneron</t>
  </si>
  <si>
    <t>Delphine Boursier &amp; Pierre Leleu</t>
  </si>
  <si>
    <t>MAISON LIQUIDE (LIQUIDE)</t>
  </si>
  <si>
    <t>pascal.pabois@vin-conseil.fr</t>
  </si>
  <si>
    <t>02 40 47 86 75</t>
  </si>
  <si>
    <t>Complètement Bar'Jeux</t>
  </si>
  <si>
    <t>Pascal</t>
  </si>
  <si>
    <t>Pascal Pabois</t>
  </si>
  <si>
    <t>Vallet</t>
  </si>
  <si>
    <t>ilore</t>
  </si>
  <si>
    <t>completementbarjeux44@gmail.com</t>
  </si>
  <si>
    <t>02-59-16-06-44</t>
  </si>
  <si>
    <t>contact@ilore.fr</t>
  </si>
  <si>
    <t>Virginie Brigitte Christiane Etoile (Joubert)</t>
  </si>
  <si>
    <t>MAEL (RABEIL - ETOILE)</t>
  </si>
  <si>
    <t>Gildas</t>
  </si>
  <si>
    <t>Gildas Bretagne</t>
  </si>
  <si>
    <t>https://ilore.eatbu.com</t>
  </si>
  <si>
    <t>L'Alambic Vallet</t>
  </si>
  <si>
    <t>Nouvelle Cave</t>
  </si>
  <si>
    <t>lalambic44@gmail.com</t>
  </si>
  <si>
    <t>info@lanouvellecave.com</t>
  </si>
  <si>
    <t>09 50 46 56 53</t>
  </si>
  <si>
    <t>02 53 78 46 94</t>
  </si>
  <si>
    <t>Aude Marie Monique Coyac</t>
  </si>
  <si>
    <t>Delphine</t>
  </si>
  <si>
    <t>L'ALAMBIC (L'ALAMBIC)</t>
  </si>
  <si>
    <t>2021</t>
  </si>
  <si>
    <t>Un pavé dans la vigne</t>
  </si>
  <si>
    <t>Abc Terroirs</t>
  </si>
  <si>
    <t>LA CAVE DE L’INATTENDU</t>
  </si>
  <si>
    <t>Épicerie fine / traiteur</t>
  </si>
  <si>
    <t>Vertou</t>
  </si>
  <si>
    <t>B</t>
  </si>
  <si>
    <t>unpavedanslavigne@gmail,com</t>
  </si>
  <si>
    <t>44120</t>
  </si>
  <si>
    <t>Barbara</t>
  </si>
  <si>
    <t>contact@hodebert.com</t>
  </si>
  <si>
    <t>contact@abcterroirs.com</t>
  </si>
  <si>
    <t xml:space="preserve">Ne pourra pas etre disponible </t>
  </si>
  <si>
    <t>02 51 79 82 58</t>
  </si>
  <si>
    <t xml:space="preserve"> +33 2 28 29 30 08</t>
  </si>
  <si>
    <t>Guillaume Gardon &amp; Helene Jouet</t>
  </si>
  <si>
    <t>ILORE (ILORE)</t>
  </si>
  <si>
    <t>https://abcterroirs.com/</t>
  </si>
  <si>
    <t>Papilles et Papillotes</t>
  </si>
  <si>
    <t>Indien Grill</t>
  </si>
  <si>
    <t>n.vergnault@dvfrance.com</t>
  </si>
  <si>
    <t>luxaveur44@hotmail.com</t>
  </si>
  <si>
    <t>09 63 58 42 50 ou 02 51 79 76 11</t>
  </si>
  <si>
    <t>Nicolas</t>
  </si>
  <si>
    <t>Nicolas Vergnault</t>
  </si>
  <si>
    <t>Cave Millésime</t>
  </si>
  <si>
    <t>vin@cavemillesime.com</t>
  </si>
  <si>
    <t>https://sites.google.com/view/restaurantindiengrill</t>
  </si>
  <si>
    <t>09 81 24 81 48</t>
  </si>
  <si>
    <t>Barco Vino</t>
  </si>
  <si>
    <t>Sophie et Agathe</t>
  </si>
  <si>
    <t>Angers</t>
  </si>
  <si>
    <t>49100</t>
  </si>
  <si>
    <t>contact@barcovino.com</t>
  </si>
  <si>
    <t>Le Monde de Syl'vin</t>
  </si>
  <si>
    <t>+33 2 41 25 43 47</t>
  </si>
  <si>
    <t>https://www.barcovino.com/</t>
  </si>
  <si>
    <t>Mathilde Louise Batardiere &amp; Bertrand Baudaire</t>
  </si>
  <si>
    <t>LES DUCS D'ALBE (BARCO VINO)</t>
  </si>
  <si>
    <t>steak_house;fish;empanada;dessert</t>
  </si>
  <si>
    <t>Carmine</t>
  </si>
  <si>
    <t>sylvainherpe@gmail.com</t>
  </si>
  <si>
    <t>06 83 67 56 05</t>
  </si>
  <si>
    <t>contact@carmine-angers.fr</t>
  </si>
  <si>
    <t>Sylvain</t>
  </si>
  <si>
    <t>Au palais gourmand</t>
  </si>
  <si>
    <t>+33 6 59 96 57 75</t>
  </si>
  <si>
    <t>https://carmine-angers.fr/</t>
  </si>
  <si>
    <t>Ctpf Invest &amp; Atelier K&amp;Co</t>
  </si>
  <si>
    <t>La Cave de l'Erdre</t>
  </si>
  <si>
    <t>Royal</t>
  </si>
  <si>
    <t>LA MAINE (CARMINE)</t>
  </si>
  <si>
    <t>anniegergaud@gmail.com</t>
  </si>
  <si>
    <t>INDIEN GRILL (INDIEN GRILL)</t>
  </si>
  <si>
    <t>44390</t>
  </si>
  <si>
    <t>KALY TRAITEUR</t>
  </si>
  <si>
    <t>Gustave et Claude</t>
  </si>
  <si>
    <t>cave.erdre@wanadoo.fr</t>
  </si>
  <si>
    <t>+33 2 40 72 13 13</t>
  </si>
  <si>
    <t>Frederic Patrick Michel Bousseau &amp; Jean-Philippe Pierre Marie-Joseph M</t>
  </si>
  <si>
    <t>kalytraiteur@free.fr</t>
  </si>
  <si>
    <t>gustaveetclaude@gmail.com</t>
  </si>
  <si>
    <t xml:space="preserve">Pas disponible mais envoie du catalogue </t>
  </si>
  <si>
    <t>06 09 30 35 25</t>
  </si>
  <si>
    <t>+33 6 40 50 09 52</t>
  </si>
  <si>
    <t>https://www.gustaveetclaude.com/</t>
  </si>
  <si>
    <t>Monique Chap</t>
  </si>
  <si>
    <t>MONIQUE CHAP (KALY TRAITEUR) (à vérifier)</t>
  </si>
  <si>
    <t>Alexandre Christophe Jocelyn Blond &amp; Hugo Luc Germond</t>
  </si>
  <si>
    <t>Logicaves</t>
  </si>
  <si>
    <t>ABHG (GUSTAVE ET CLAUDE)</t>
  </si>
  <si>
    <t>Bistrot / bar à vin | email partagé avec: Gustave &amp; Claude</t>
  </si>
  <si>
    <t>L'Atelier Gourmet - Restaurant-traiteur</t>
  </si>
  <si>
    <t>https://aupalaisgourmand.net/</t>
  </si>
  <si>
    <t>logicaves@gmail.com</t>
  </si>
  <si>
    <t>La Cour</t>
  </si>
  <si>
    <t>02 40 29 73 35 ou 06 26 16 01 17</t>
  </si>
  <si>
    <t>Arnault</t>
  </si>
  <si>
    <t>contact@ateliergourmet.fr</t>
  </si>
  <si>
    <t>Arnault Forget</t>
  </si>
  <si>
    <t>07 68 82 08 65</t>
  </si>
  <si>
    <t>contact@lacour-angers.com</t>
  </si>
  <si>
    <t>02 41 96 05 88</t>
  </si>
  <si>
    <t>La Cave des Pierres Bleues</t>
  </si>
  <si>
    <t>Nozay</t>
  </si>
  <si>
    <t>COUR D'APPEL D'ANGERS</t>
  </si>
  <si>
    <t>La Baule Traiteur</t>
  </si>
  <si>
    <t>1981</t>
  </si>
  <si>
    <t>labauletraiteur@orange.fr</t>
  </si>
  <si>
    <t>Le Boudoir Café</t>
  </si>
  <si>
    <t>02 40 60 48 09</t>
  </si>
  <si>
    <t>Cong Cong Cai &amp; Antonio An Dong Wang</t>
  </si>
  <si>
    <t>SARL FEIDA (à vérifier)</t>
  </si>
  <si>
    <t>pitto.catherine@orange.fr</t>
  </si>
  <si>
    <t>LA FOUÉE ENCHANTÉE - TRAITEUR</t>
  </si>
  <si>
    <t>09 81 42 86 85</t>
  </si>
  <si>
    <t>Saint-Pere-En-Retz</t>
  </si>
  <si>
    <t>a.dumortier36@laposte.net</t>
  </si>
  <si>
    <t>Le Cercle Rouge</t>
  </si>
  <si>
    <t>44170</t>
  </si>
  <si>
    <t>contact@cavedespierresbleues.fr</t>
  </si>
  <si>
    <t>49000</t>
  </si>
  <si>
    <t>La Parisienne Traiteur</t>
  </si>
  <si>
    <t>02 40 79 41 85</t>
  </si>
  <si>
    <t xml:space="preserve">Sylvain Chazé </t>
  </si>
  <si>
    <t>cerclerouge49@gmail.com</t>
  </si>
  <si>
    <t xml:space="preserve">Fais des travaux à ce moment la </t>
  </si>
  <si>
    <t>Aux saveurs des Indes</t>
  </si>
  <si>
    <t>09 55 62 61 39</t>
  </si>
  <si>
    <t>laparisiennetraiteur@orange.fr</t>
  </si>
  <si>
    <t>La Cave à l'Envers</t>
  </si>
  <si>
    <t>QUE DU NATURE</t>
  </si>
  <si>
    <t>lacavealenvers@gmail.com</t>
  </si>
  <si>
    <t>Le Welcome, Bar &amp; Grignotages</t>
  </si>
  <si>
    <t>https://www.laparisienne-traiteur.fr/</t>
  </si>
  <si>
    <t>neha.hassanbay@hotmail.fr</t>
  </si>
  <si>
    <t>Chez TonTon Bar Cave</t>
  </si>
  <si>
    <t>Pontchâteau</t>
  </si>
  <si>
    <t>44160</t>
  </si>
  <si>
    <t>lewelcomeangers@gmail.com</t>
  </si>
  <si>
    <t>france.cheztonton@orange.fr</t>
  </si>
  <si>
    <t>france</t>
  </si>
  <si>
    <t>Les Flacons</t>
  </si>
  <si>
    <t>L’Angevigne</t>
  </si>
  <si>
    <t>Chez Mémé</t>
  </si>
  <si>
    <t>langevigne@gmail.com</t>
  </si>
  <si>
    <t>chezmeme44@gmail.com</t>
  </si>
  <si>
    <t>02 41 87 32 00</t>
  </si>
  <si>
    <t>Nicolas Barbou</t>
  </si>
  <si>
    <t>Louise Berthome &amp; Jean-Marie Charles</t>
  </si>
  <si>
    <t>L'ANGEVIGNE (L'ANGEVIGNE)</t>
  </si>
  <si>
    <t>Cave de Jade</t>
  </si>
  <si>
    <t>2012</t>
  </si>
  <si>
    <t>O' P'tits Oignons Resto Bar - Cave Lafayette</t>
  </si>
  <si>
    <t>lacavedejade@gmail.com</t>
  </si>
  <si>
    <t>https://www.chezmeme44.fr</t>
  </si>
  <si>
    <t>02 40 82 36 15 / 06 25 33 04 06</t>
  </si>
  <si>
    <t>Aurelie</t>
  </si>
  <si>
    <t>Aurélie Briere</t>
  </si>
  <si>
    <t>Vacances donc pas possible</t>
  </si>
  <si>
    <t>resto.opetitsoignons@gmail.com</t>
  </si>
  <si>
    <t>02 41 35 05 47</t>
  </si>
  <si>
    <t>Cave de la Ria</t>
  </si>
  <si>
    <t>O'P'tit Bonheur Angevin</t>
  </si>
  <si>
    <t>cavedelaria@gmail.com</t>
  </si>
  <si>
    <t>02 40 82 51 77</t>
  </si>
  <si>
    <t>Cédric</t>
  </si>
  <si>
    <t>optitbonheurangevin@gmail.com</t>
  </si>
  <si>
    <t>Cave de la Porte Sud</t>
  </si>
  <si>
    <t>Rezé</t>
  </si>
  <si>
    <t>44400</t>
  </si>
  <si>
    <t>Le Coquelet Braisé</t>
  </si>
  <si>
    <t>ginoalteregos@gmail.com</t>
  </si>
  <si>
    <t>Une Fille &amp; des Quilles</t>
  </si>
  <si>
    <t>traiteur@lecoqueletbraise.fr</t>
  </si>
  <si>
    <t>Label Reserve</t>
  </si>
  <si>
    <t>contact@unefilleetdesquilles.com</t>
  </si>
  <si>
    <t>02 41 72 23 86</t>
  </si>
  <si>
    <t>jp@bouri.fr</t>
  </si>
  <si>
    <t>Laurent Petit Foreix</t>
  </si>
  <si>
    <t>UNE FILLE &amp; DES QUILLES</t>
  </si>
  <si>
    <t>02 40 20 00 10</t>
  </si>
  <si>
    <t>Jean Pierre</t>
  </si>
  <si>
    <t>Irenee Clarisse Fofe (Eteme)</t>
  </si>
  <si>
    <t>Jean Pierre Bouri</t>
  </si>
  <si>
    <t>LE COQUELET BRAISE (LE COQUELET BRAISE)</t>
  </si>
  <si>
    <t>Du Cépage au Fromage</t>
  </si>
  <si>
    <t>À boire et à manger</t>
  </si>
  <si>
    <t>LE CROM TRAITEUR</t>
  </si>
  <si>
    <t>labelreservemandret@gmail.com</t>
  </si>
  <si>
    <t>ducepageaufromage@yahoo.fr</t>
  </si>
  <si>
    <t>contact@aboireamanger.com</t>
  </si>
  <si>
    <t>lecrom.traiteur@gmail.com</t>
  </si>
  <si>
    <t>02 41 72 86 91</t>
  </si>
  <si>
    <t>06 78 66 24 29</t>
  </si>
  <si>
    <t>Alexandre Forge</t>
  </si>
  <si>
    <t>Nino Le Crom</t>
  </si>
  <si>
    <t>Fromagerie Les Confluences</t>
  </si>
  <si>
    <t>A BOIRE ET A MANGER</t>
  </si>
  <si>
    <t>NINO LE CROM (LE CROM TRAITEUR) (à vérifier)</t>
  </si>
  <si>
    <t>fromageriem@gmail.com</t>
  </si>
  <si>
    <t>Le Garde Manger - Traiteur</t>
  </si>
  <si>
    <t>06 79 30 63 22</t>
  </si>
  <si>
    <t>Bar à jus LAtypique</t>
  </si>
  <si>
    <t>Muriel</t>
  </si>
  <si>
    <t>https://www.ducepageaufromage.fr</t>
  </si>
  <si>
    <t>Saint-Michel-Chef-Chef</t>
  </si>
  <si>
    <t>Muriel Manonelles</t>
  </si>
  <si>
    <t>Bauge-En-Anjou</t>
  </si>
  <si>
    <t>legardemanger@ecomail.fr</t>
  </si>
  <si>
    <t>49150</t>
  </si>
  <si>
    <t>06 68 71 56 49</t>
  </si>
  <si>
    <t>Chlorophylle</t>
  </si>
  <si>
    <t>info@tisac.fr</t>
  </si>
  <si>
    <t>02 41 82 27 07</t>
  </si>
  <si>
    <t>patrice.boiron@chlorophylle-coo.com</t>
  </si>
  <si>
    <t>Le Homard frites</t>
  </si>
  <si>
    <t>02 51 77 54 27</t>
  </si>
  <si>
    <t>Patrice</t>
  </si>
  <si>
    <t>Patrice Boiron</t>
  </si>
  <si>
    <t>L'Ange Vin</t>
  </si>
  <si>
    <t>lehomardfritesnantes@gmail.com</t>
  </si>
  <si>
    <t>Beaucouze</t>
  </si>
  <si>
    <t>Le Cabarotier</t>
  </si>
  <si>
    <t>49070</t>
  </si>
  <si>
    <t>Rouans</t>
  </si>
  <si>
    <t>contact@langevinbeaucouze.fr</t>
  </si>
  <si>
    <t>02 41 33 87 95</t>
  </si>
  <si>
    <t>stephane.boulande@gmail.com</t>
  </si>
  <si>
    <t>Mickael Moureaud</t>
  </si>
  <si>
    <t>L'ANGE VIN</t>
  </si>
  <si>
    <t>https://nantes.lehomardfrites.com</t>
  </si>
  <si>
    <t>La Cave Brévinoise</t>
  </si>
  <si>
    <t>Saint-Brevin-les-Pins</t>
  </si>
  <si>
    <t>Salon de Thé L'Instant Divin</t>
  </si>
  <si>
    <t>Beaufort-En-Anjou</t>
  </si>
  <si>
    <t>guillounicolas44@gmail.com</t>
  </si>
  <si>
    <t>49250</t>
  </si>
  <si>
    <t>linstantdivin.49@gmail.com</t>
  </si>
  <si>
    <t>trop de boulot + pas envie d'acheter donc non</t>
  </si>
  <si>
    <t>02 41 47 21 28</t>
  </si>
  <si>
    <t>La Cave du Bonheur</t>
  </si>
  <si>
    <t>Café des Ponts</t>
  </si>
  <si>
    <t>lacavedubonheur@orange.fr</t>
  </si>
  <si>
    <t>tel:0613673380</t>
  </si>
  <si>
    <t>Beaupreau-En-Mauges</t>
  </si>
  <si>
    <t>49600</t>
  </si>
  <si>
    <t>Cav'ale</t>
  </si>
  <si>
    <t>Saint-Herblain</t>
  </si>
  <si>
    <t>44800</t>
  </si>
  <si>
    <t>cafedesponts@gmail.com</t>
  </si>
  <si>
    <t>Le Monde dans un Grain de Sable</t>
  </si>
  <si>
    <t>contact@cavale.fr</t>
  </si>
  <si>
    <t>lmgs.carquefou@gmail.com</t>
  </si>
  <si>
    <t>Camille Marie Lea Allannic &amp; Guillaume Eugene Roger Harmand</t>
  </si>
  <si>
    <t>HF NANTES (LE HOMARD FRITES NANTES)</t>
  </si>
  <si>
    <t>02 41 63 38 59</t>
  </si>
  <si>
    <t>Les Bidouilles de Mémé - Traiteur</t>
  </si>
  <si>
    <t>nicolas.contassot@vin-conseil.fr</t>
  </si>
  <si>
    <t>09 51 40 35 11</t>
  </si>
  <si>
    <t>Le Sango Bar</t>
  </si>
  <si>
    <t xml:space="preserve">Nicolas </t>
  </si>
  <si>
    <t>Nicolas Contassot</t>
  </si>
  <si>
    <t>lbmtraiteur44@gmail.com</t>
  </si>
  <si>
    <t>49450</t>
  </si>
  <si>
    <t>07 60 85 18 06</t>
  </si>
  <si>
    <t>s.cale5.villedieu@gmail.com</t>
  </si>
  <si>
    <t>Cave Les Celliers de Grand Lieu</t>
  </si>
  <si>
    <t>Faustine Carole Françoise Delacourt</t>
  </si>
  <si>
    <t>Saint Aignan le Grand Lieu</t>
  </si>
  <si>
    <t>06 40 60 96 91</t>
  </si>
  <si>
    <t>LES BIDOUILLES DE MEME (LES BIDOUILLES DE MEME TRAITEUR)</t>
  </si>
  <si>
    <t>Le Roi des Nems</t>
  </si>
  <si>
    <t>marjorie@lescelliers.com</t>
  </si>
  <si>
    <t>Les Gourmandises d'Enora - traiteur et ateliers cuisine</t>
  </si>
  <si>
    <t>02 40 26 49 44</t>
  </si>
  <si>
    <t>L'Auberge du Layon</t>
  </si>
  <si>
    <t>Marjorie</t>
  </si>
  <si>
    <t>kimle@leroidesnems.fr</t>
  </si>
  <si>
    <t>Saint-Lumine-De-Clisson</t>
  </si>
  <si>
    <t>Bellevigne-En-Layon</t>
  </si>
  <si>
    <t>contact@lesgourmandisesdenora.fr</t>
  </si>
  <si>
    <t>49750</t>
  </si>
  <si>
    <t>Liquide Maison Liquide</t>
  </si>
  <si>
    <t>Saint Philibert de Grand Lieu</t>
  </si>
  <si>
    <t>aubergedulayon@gmail.com</t>
  </si>
  <si>
    <t>02 41 78 32 55</t>
  </si>
  <si>
    <t>Pierre et Delphine</t>
  </si>
  <si>
    <t>Les Tontons Traiteurs</t>
  </si>
  <si>
    <t>BAR À FROMAGES - FROMAGERIE ROUET</t>
  </si>
  <si>
    <t>https://www.leroidesnems.fr</t>
  </si>
  <si>
    <t>Brissac Loire Aubance</t>
  </si>
  <si>
    <t>Cave du Lion d'Or</t>
  </si>
  <si>
    <t>49320</t>
  </si>
  <si>
    <t>Saint-Sébastien-sur-Loire</t>
  </si>
  <si>
    <t>contact@lestontonstraiteurs.fr</t>
  </si>
  <si>
    <t>fromageriebrissac@gmail.com</t>
  </si>
  <si>
    <t>44230</t>
  </si>
  <si>
    <t>09 82 50 59 14</t>
  </si>
  <si>
    <t>Thierry Eugene Andre Mousset</t>
  </si>
  <si>
    <t>caveduliondor@hotmail.fr</t>
  </si>
  <si>
    <t>LES TONTONS TRAITEURS</t>
  </si>
  <si>
    <t>Gault Millau</t>
  </si>
  <si>
    <t>Cave Les Caudalies</t>
  </si>
  <si>
    <t>Bar à vins le Bar des Amis</t>
  </si>
  <si>
    <t>M. Strogoff</t>
  </si>
  <si>
    <t>Saint-Étienne-de-Montluc</t>
  </si>
  <si>
    <t>Cholet</t>
  </si>
  <si>
    <t>49300</t>
  </si>
  <si>
    <t>cavelescaudalies@orange.fr</t>
  </si>
  <si>
    <t>choletbardesamis@gmail.com</t>
  </si>
  <si>
    <t>contact.m.strogoff@gmail.com</t>
  </si>
  <si>
    <t>Temps perso donc compliqué</t>
  </si>
  <si>
    <t>02 41 46 52 14</t>
  </si>
  <si>
    <t>BeToBib</t>
  </si>
  <si>
    <t>Sainte-Luce-sur-Loire</t>
  </si>
  <si>
    <t>44980</t>
  </si>
  <si>
    <t>contact@betobib.com</t>
  </si>
  <si>
    <t>02 41 49 95 85</t>
  </si>
  <si>
    <t>https://www.restaurant-russe-m-strogoff.fr</t>
  </si>
  <si>
    <r>
      <rPr>
        <rFont val="&quot;Aptos Narrow&quot;, sans-serif"/>
        <color rgb="FF1155CC"/>
        <sz val="11.0"/>
        <u/>
      </rPr>
      <t>lachapelle@vins-nantes,fr</t>
    </r>
  </si>
  <si>
    <t>Les Délices de Provence</t>
  </si>
  <si>
    <t>K &amp; G</t>
  </si>
  <si>
    <t>pascal.2as@wanadoo.fr</t>
  </si>
  <si>
    <t>La Cavanaise</t>
  </si>
  <si>
    <t>lesdruides06@gmail.com</t>
  </si>
  <si>
    <t>Sainte-Pazanne</t>
  </si>
  <si>
    <t>44680</t>
  </si>
  <si>
    <t>02 41 16 40 44</t>
  </si>
  <si>
    <t>lacavanaise@orange.fr</t>
  </si>
  <si>
    <t>Latifa Chahad (Ait Tadarte) &amp; Salaheddine Chahad</t>
  </si>
  <si>
    <t>K&amp;G</t>
  </si>
  <si>
    <t>Sain</t>
  </si>
  <si>
    <t>Les Clés de la Cave</t>
  </si>
  <si>
    <t>contact@sain-nantes.com</t>
  </si>
  <si>
    <t>La Bo'D'Gars</t>
  </si>
  <si>
    <t>auxvinsdolivier@gmail.com</t>
  </si>
  <si>
    <t>https://sain-nantes.com/</t>
  </si>
  <si>
    <t>labodgars@orange.fr</t>
  </si>
  <si>
    <t>02 41 46 54 07</t>
  </si>
  <si>
    <t>Restaurant et bar à vins : la Touchetière</t>
  </si>
  <si>
    <t>SYND COPROPRIETE STROGOFF</t>
  </si>
  <si>
    <t>contact@latouchetiere.fr</t>
  </si>
  <si>
    <t>Maison Bakary Amoussa</t>
  </si>
  <si>
    <t>02 41 62 55 03</t>
  </si>
  <si>
    <t>olivier@les-cles-de-la-cave.vin</t>
  </si>
  <si>
    <t>maison.bakaryamoussa@gmail.com</t>
  </si>
  <si>
    <t>02 40 36 32 01</t>
  </si>
  <si>
    <t>TerraVega</t>
  </si>
  <si>
    <t>Restaurant Auberge de la Caverne Sculptée</t>
  </si>
  <si>
    <t>terravega44@gmail.com</t>
  </si>
  <si>
    <t>Olivier</t>
  </si>
  <si>
    <t>Deneze-Sous-Doue</t>
  </si>
  <si>
    <t>49700</t>
  </si>
  <si>
    <t>Arafath Bakary</t>
  </si>
  <si>
    <t>Olivier Reilhac</t>
  </si>
  <si>
    <t>contact@aubergecavernesculptee.com</t>
  </si>
  <si>
    <t>MAISON-BAKARY-AMOUSSA (MAISON-BAKARY-AMOUSSA) (MBA)</t>
  </si>
  <si>
    <t>02 41 59 07 93</t>
  </si>
  <si>
    <t>Cave Paul et Joseph</t>
  </si>
  <si>
    <t>MAJO Traiteur</t>
  </si>
  <si>
    <t>Savenay</t>
  </si>
  <si>
    <t>https://www.terravega.fr/</t>
  </si>
  <si>
    <t>savenay@pauletjoseph.fr</t>
  </si>
  <si>
    <t>contact@majo-traiteur.fr</t>
  </si>
  <si>
    <t>Equipe</t>
  </si>
  <si>
    <t>Restaurant Le Caveau</t>
  </si>
  <si>
    <t>02 40 62 14 35</t>
  </si>
  <si>
    <t>Doue-En-Anjou</t>
  </si>
  <si>
    <t>Vino Vini</t>
  </si>
  <si>
    <t>OLIVIER TRAITEUR</t>
  </si>
  <si>
    <t>restaurant.lecaveau@orange.fr</t>
  </si>
  <si>
    <t>02 41 59 98 28</t>
  </si>
  <si>
    <t>olivier.traiteurpornic@gmail.com</t>
  </si>
  <si>
    <t>contact@letastevin.fr</t>
  </si>
  <si>
    <t>02 40 66 55 57</t>
  </si>
  <si>
    <t>06 01 08 71 41</t>
  </si>
  <si>
    <t>Olivier Mouillard</t>
  </si>
  <si>
    <t>Le Garage, Bistrot vigneron</t>
  </si>
  <si>
    <t>Axel et Joffrey</t>
  </si>
  <si>
    <t>Fontevraud-L'Abbaye</t>
  </si>
  <si>
    <t>49590</t>
  </si>
  <si>
    <t>Paellas y Tapas</t>
  </si>
  <si>
    <t>contact@le-garage-fontevraud.com</t>
  </si>
  <si>
    <t>06 30 87 32 24</t>
  </si>
  <si>
    <t>paellasettapas@gmail.com</t>
  </si>
  <si>
    <t>vino.vini4@orange.fr</t>
  </si>
  <si>
    <t>02 40 45 96 62</t>
  </si>
  <si>
    <t>Thierry</t>
  </si>
  <si>
    <t>Restaurant Le Comptoir des Vins</t>
  </si>
  <si>
    <t>Épices et vous</t>
  </si>
  <si>
    <t>Biere et Chopes</t>
  </si>
  <si>
    <t>Bouguenais</t>
  </si>
  <si>
    <t>lecomptoirdesvins49@gmail.com</t>
  </si>
  <si>
    <t>christinegiron@hotmail.fr</t>
  </si>
  <si>
    <t>02 41 59 83 63</t>
  </si>
  <si>
    <t>bouguenais@biere-et-chopes.fr</t>
  </si>
  <si>
    <t xml:space="preserve">02 40 76 45 92 </t>
  </si>
  <si>
    <t>Patrick</t>
  </si>
  <si>
    <t>Papa Cuistot - traiteur</t>
  </si>
  <si>
    <t>La Route du Sel</t>
  </si>
  <si>
    <t>Patrick Jacquin</t>
  </si>
  <si>
    <t>Ingrandes-Le-Fresne-Sur-Loire</t>
  </si>
  <si>
    <t>49123</t>
  </si>
  <si>
    <t>papacuistot44@gmail.com</t>
  </si>
  <si>
    <t>Vino Passion</t>
  </si>
  <si>
    <t>routedusel@free.fr</t>
  </si>
  <si>
    <t>Batz sur Mer</t>
  </si>
  <si>
    <t>02 41 39 20 79</t>
  </si>
  <si>
    <t>Luna Myriam Ghaffour &amp; Nadia Ghaffour</t>
  </si>
  <si>
    <t>vino.passion@orange.fr</t>
  </si>
  <si>
    <t>LA ROUTE DU SEL</t>
  </si>
  <si>
    <t>Casa Bellipanni</t>
  </si>
  <si>
    <t>PAT'OU CRÊPES - TRAITEUR</t>
  </si>
  <si>
    <t>02 40 23 85 57</t>
  </si>
  <si>
    <t>2026</t>
  </si>
  <si>
    <t>Alain</t>
  </si>
  <si>
    <t>Restaurant Le Puy à Vins</t>
  </si>
  <si>
    <t>info@casabellipanni.com</t>
  </si>
  <si>
    <t>Basse-Goulaine</t>
  </si>
  <si>
    <t>Le Puy-Notre-Dame</t>
  </si>
  <si>
    <t>49260</t>
  </si>
  <si>
    <t>basse-goulaine@bieres-et-chopes.fr</t>
  </si>
  <si>
    <t>contact@lepuyavins.fr</t>
  </si>
  <si>
    <t>02 40 69 89 20</t>
  </si>
  <si>
    <t>02 41 03 53 32</t>
  </si>
  <si>
    <t>Sandrine</t>
  </si>
  <si>
    <t>https://www.facebook.com/casabellipanni</t>
  </si>
  <si>
    <t>Tapas des Lys</t>
  </si>
  <si>
    <t>moiseef.patricia@orange.fr</t>
  </si>
  <si>
    <t>Les Bois D'Anjou</t>
  </si>
  <si>
    <t>06 40 78 99 77</t>
  </si>
  <si>
    <t>s.bergere@dvfrance.com</t>
  </si>
  <si>
    <t>02 51 79 00 06</t>
  </si>
  <si>
    <t>info@tapasdeslys.fr</t>
  </si>
  <si>
    <t>Severine</t>
  </si>
  <si>
    <t>Qrep'</t>
  </si>
  <si>
    <t>Severine Bergère</t>
  </si>
  <si>
    <t>Denis Alligand &amp; Jucines Gomes Da Silva</t>
  </si>
  <si>
    <t>TAPAS DES LYS</t>
  </si>
  <si>
    <t>qrepcontact@gmail.com</t>
  </si>
  <si>
    <t>Le Bistrot de l'écluse</t>
  </si>
  <si>
    <t>c.tossen@dvfrance.com</t>
  </si>
  <si>
    <t>06 31 56 10 11</t>
  </si>
  <si>
    <t>Longuenee-En-Anjou</t>
  </si>
  <si>
    <t>Céline</t>
  </si>
  <si>
    <t>49770</t>
  </si>
  <si>
    <t>Céline Tossen</t>
  </si>
  <si>
    <t>lebistrotdelecluse@gmail.com</t>
  </si>
  <si>
    <t>02 41 93 04 37</t>
  </si>
  <si>
    <t>https://qrepcontact.wixsite.com/monsite</t>
  </si>
  <si>
    <t>c.ribet@dvfrance.com</t>
  </si>
  <si>
    <t>Restaurant Les Caves de la Genevraie</t>
  </si>
  <si>
    <t>02 51 79 43 09</t>
  </si>
  <si>
    <t>Louresse-Rochemenier</t>
  </si>
  <si>
    <t>Céline Ribet</t>
  </si>
  <si>
    <t>contact@rocaminori-hotel.fr</t>
  </si>
  <si>
    <t>02 41 59 34 22</t>
  </si>
  <si>
    <t>Fief des Vins</t>
  </si>
  <si>
    <t>Haute Goulaine</t>
  </si>
  <si>
    <t>L'Angle des Délices</t>
  </si>
  <si>
    <t>contact@fiefdesvins.com</t>
  </si>
  <si>
    <t>Bistrot Paulette</t>
  </si>
  <si>
    <t>06 76 48 05 38</t>
  </si>
  <si>
    <t>langledesdelices@orange.fr</t>
  </si>
  <si>
    <t>Romane</t>
  </si>
  <si>
    <t>Mauges-Sur-Loire</t>
  </si>
  <si>
    <t>Romane Salmon</t>
  </si>
  <si>
    <t>49410</t>
  </si>
  <si>
    <t>marcel.djaoudi@gmail.com</t>
  </si>
  <si>
    <t>02 53 20 26 67</t>
  </si>
  <si>
    <t>La Cave du Chemin Gourmands</t>
  </si>
  <si>
    <t>Marcel Djaoudi &amp; Stephanie Djaoudi (Porier)</t>
  </si>
  <si>
    <t>Le Loroux Bottereau</t>
  </si>
  <si>
    <t>SC2M</t>
  </si>
  <si>
    <t>Jerome Michel Hallereau</t>
  </si>
  <si>
    <t>contact@cavechemingourmands.fr</t>
  </si>
  <si>
    <t>QREP'</t>
  </si>
  <si>
    <t>02 40 47 55 95</t>
  </si>
  <si>
    <t>La Boutique Solidaire</t>
  </si>
  <si>
    <t>Le Port d'Attache</t>
  </si>
  <si>
    <t>Montreuil-Juigne</t>
  </si>
  <si>
    <t>Restaurant et traiteur O'Calyco</t>
  </si>
  <si>
    <t>laboutiquesolidaire@aapai.com</t>
  </si>
  <si>
    <t>Les Caves de la Belle Etoile</t>
  </si>
  <si>
    <t>49460</t>
  </si>
  <si>
    <t>Treillieres</t>
  </si>
  <si>
    <t>La Haie-Fouassiere</t>
  </si>
  <si>
    <t>leportdattache49@gmail.com</t>
  </si>
  <si>
    <t>02 41 19 71 36</t>
  </si>
  <si>
    <t>o.calyco@orange.fr</t>
  </si>
  <si>
    <t>nathalieesseau@cavedelabelleetoile.fr</t>
  </si>
  <si>
    <t>Gregory Cedric Guiffault &amp; Sylvie Marcelle Monique Leboucher</t>
  </si>
  <si>
    <t>02 40 36 93 90</t>
  </si>
  <si>
    <t>02 28 07 92 88</t>
  </si>
  <si>
    <t>LE PORT D'ATTACHE (LE PORT D'ATTACHE)</t>
  </si>
  <si>
    <t>https://laboutiquesolidaire.com/</t>
  </si>
  <si>
    <t>Rambault, La Cave, Le Restaurant</t>
  </si>
  <si>
    <t>Sarah'Zin crêperie à domicile - traiteur</t>
  </si>
  <si>
    <t>Clementine l'Epicerie</t>
  </si>
  <si>
    <t>Thouaré sur Loire</t>
  </si>
  <si>
    <t>Pontchateau</t>
  </si>
  <si>
    <t>Montrevault-Sur-Evre</t>
  </si>
  <si>
    <t>49110</t>
  </si>
  <si>
    <t>laurent.baraud@orange.fr</t>
  </si>
  <si>
    <t>contact@sarahzin.fr</t>
  </si>
  <si>
    <t>02 28 16 79 01</t>
  </si>
  <si>
    <t>06 61 45 41 51</t>
  </si>
  <si>
    <t>Laurence</t>
  </si>
  <si>
    <t>contact@cave-rambault.fr</t>
  </si>
  <si>
    <t>Baraud</t>
  </si>
  <si>
    <t>02 41 49 09 98</t>
  </si>
  <si>
    <t>Traiteur - Aux 4 saisons</t>
  </si>
  <si>
    <t>Maxime Guery &amp; Jean-Marie Pellerin</t>
  </si>
  <si>
    <t>l'effervescent</t>
  </si>
  <si>
    <t>GUERY-PELLERIN (RAMBAULT LA CAVE LE RESTAURANT)</t>
  </si>
  <si>
    <t>Teille</t>
  </si>
  <si>
    <t>Croisic</t>
  </si>
  <si>
    <t>2003</t>
  </si>
  <si>
    <t>aux4saisonsvb@gmail.com</t>
  </si>
  <si>
    <t>leffervescentcroisic@gmail.com</t>
  </si>
  <si>
    <t>02 40 97 79 92</t>
  </si>
  <si>
    <t>02 53 84 96 54</t>
  </si>
  <si>
    <t>Moran</t>
  </si>
  <si>
    <t>Morand Bourcier</t>
  </si>
  <si>
    <t>Cuisine traditionnelle | email partagé avec: Aux 4 Saisons, ma cuisine maison</t>
  </si>
  <si>
    <t>Restaurant Les Caves de Marson</t>
  </si>
  <si>
    <t>Traiteur - Brulé Traiteur</t>
  </si>
  <si>
    <t>Couffe</t>
  </si>
  <si>
    <t>Rou-Marson</t>
  </si>
  <si>
    <t>49400</t>
  </si>
  <si>
    <t>brule.traiteur@wanadoo.fr</t>
  </si>
  <si>
    <t>02 40 96 59 02</t>
  </si>
  <si>
    <t>contact@cavesdemarson.com</t>
  </si>
  <si>
    <t>Joseph Brule &amp; Joseph Louis Jean Marie Brule</t>
  </si>
  <si>
    <t>STE EXPLOITATION DES ETS BRULE</t>
  </si>
  <si>
    <t>02 41 50 50 05</t>
  </si>
  <si>
    <t>Avvinà</t>
  </si>
  <si>
    <t>Traiteur - JO Traiteur Viande</t>
  </si>
  <si>
    <t>L'Alimentari Angers</t>
  </si>
  <si>
    <t>direction.avvina@gmail.com</t>
  </si>
  <si>
    <t>Holding Adca</t>
  </si>
  <si>
    <t>joel.bazin.traiteur@gmail.com</t>
  </si>
  <si>
    <t>Envoyer liste à la direction</t>
  </si>
  <si>
    <t>02 40 98 14 25</t>
  </si>
  <si>
    <t>emanuela@alimentari-angers.fr</t>
  </si>
  <si>
    <t>Bar associatif Le Faux Chai</t>
  </si>
  <si>
    <t>Joel Bazin &amp; Joel Bernard Paul Bazin</t>
  </si>
  <si>
    <t>Cave Saint Aubin</t>
  </si>
  <si>
    <t>JO TRAITEUR VIANDE (J.T.V.)</t>
  </si>
  <si>
    <t>barbarinl@yahoo.fr</t>
  </si>
  <si>
    <t>Traiteur - La cuisine de Fanette</t>
  </si>
  <si>
    <t>Saint Aubin De Luigné</t>
  </si>
  <si>
    <t>Ne pourra pas s'y rendre car pas de transport</t>
  </si>
  <si>
    <t>49190</t>
  </si>
  <si>
    <t>À BOIRE ! la Cave</t>
  </si>
  <si>
    <t>lacuisinedefanette@gmail.com</t>
  </si>
  <si>
    <t>lefauxchais@gmail.com</t>
  </si>
  <si>
    <t>contact@aboireetamanger.com</t>
  </si>
  <si>
    <t>https://fr-fr.facebook.com/pg/LeFauxChai/</t>
  </si>
  <si>
    <t>Pas ouvert</t>
  </si>
  <si>
    <t>Traiteur - La Toile à Beurre</t>
  </si>
  <si>
    <t>Épicave</t>
  </si>
  <si>
    <t>epicave49@gmail.com</t>
  </si>
  <si>
    <t>https://www.alimentari-angers.fr/</t>
  </si>
  <si>
    <t>latoileabeurre@wanadoo.fr</t>
  </si>
  <si>
    <t>Bar - Restaurant Bonheur</t>
  </si>
  <si>
    <t>Mr Laigneau</t>
  </si>
  <si>
    <t>02 40 98 89 64</t>
  </si>
  <si>
    <t>Envoyer toute les infos</t>
  </si>
  <si>
    <t>Bottin Gourmand,Gault Millau,Guide du Routard Pays de la Loire,Le petit futé,Michelin</t>
  </si>
  <si>
    <t>Saumur</t>
  </si>
  <si>
    <t>Magasin Au Plaisir</t>
  </si>
  <si>
    <t>Traiteur - Le Val d'Evre</t>
  </si>
  <si>
    <t>auplaisir.angers@orange.fr</t>
  </si>
  <si>
    <t>bonheursaumur49@gmail.com</t>
  </si>
  <si>
    <t>02 41 36 02 67</t>
  </si>
  <si>
    <t>Pascal et François</t>
  </si>
  <si>
    <t>02 41 53 28 15</t>
  </si>
  <si>
    <t>marketing@foodles.co</t>
  </si>
  <si>
    <t>02 40 98 80 50</t>
  </si>
  <si>
    <t>La Cave du Doyenné</t>
  </si>
  <si>
    <t>La Boite A Encas</t>
  </si>
  <si>
    <t>LE VAL D'EVRE</t>
  </si>
  <si>
    <t>cavedoyenne49@orange.fr</t>
  </si>
  <si>
    <t>02 41 34 78 67</t>
  </si>
  <si>
    <t>Bernard et Xavier</t>
  </si>
  <si>
    <t>Traiteur - Maëla Cuisine</t>
  </si>
  <si>
    <t>Mouzeil</t>
  </si>
  <si>
    <t>Restaurant Belle Rive</t>
  </si>
  <si>
    <t>Bar à vins Au 4 vins</t>
  </si>
  <si>
    <t>maelacuisine.traiteur@gmail.com</t>
  </si>
  <si>
    <t>theo.beaup@gmail.com</t>
  </si>
  <si>
    <t>Maela Belleil (Nicol)</t>
  </si>
  <si>
    <t>02 41 48 18 70</t>
  </si>
  <si>
    <t>MAELA CUISINE-TRAITEUR (MAELA CUISINE-TRAITEUR)</t>
  </si>
  <si>
    <t>Théo</t>
  </si>
  <si>
    <t>Théo Beaupère</t>
  </si>
  <si>
    <t>Traiteur - Rougail Party</t>
  </si>
  <si>
    <t>La Cave des Rois</t>
  </si>
  <si>
    <t>lesecretdespapilles@live.fr</t>
  </si>
  <si>
    <t>Avrillé</t>
  </si>
  <si>
    <t>49240</t>
  </si>
  <si>
    <t>06 99 42 36 20</t>
  </si>
  <si>
    <t>rougailparty@gmail.com</t>
  </si>
  <si>
    <t>lacavedesrois.avrille@gmail.com</t>
  </si>
  <si>
    <t>09 81 26 69 33</t>
  </si>
  <si>
    <t>Nuances Terroirs</t>
  </si>
  <si>
    <t>Traiteur - Sucre Roux</t>
  </si>
  <si>
    <t>Beaufort-en-Anjou</t>
  </si>
  <si>
    <t>Ligne</t>
  </si>
  <si>
    <t>Bar à vins Coup de Foudre</t>
  </si>
  <si>
    <t>contact@sucreroux.com</t>
  </si>
  <si>
    <t>nuancesterroirs@hotmail.fr</t>
  </si>
  <si>
    <t>09 85 20 74 34</t>
  </si>
  <si>
    <t>La Cave de Vincent</t>
  </si>
  <si>
    <t>contact@cavecoupdefoudre.fr</t>
  </si>
  <si>
    <t>Chalonnes-sur-Loire</t>
  </si>
  <si>
    <t>49290</t>
  </si>
  <si>
    <t>02 41 59 80 97</t>
  </si>
  <si>
    <t>contact@cavedevincent.fr</t>
  </si>
  <si>
    <t>Traiteur Brasero Ancenis - TBO</t>
  </si>
  <si>
    <t>02 41 44 11 03</t>
  </si>
  <si>
    <t>Vair-Sur-Loire</t>
  </si>
  <si>
    <t>traiteur@terrassedebelair.com</t>
  </si>
  <si>
    <t>La Cave Cholet</t>
  </si>
  <si>
    <t>Chai Vadé</t>
  </si>
  <si>
    <t>02 40 83 02 87</t>
  </si>
  <si>
    <t>moncaviste@lacavecholet.fr</t>
  </si>
  <si>
    <t>02 41 58 32 32</t>
  </si>
  <si>
    <t>Traiteur l'Aparté</t>
  </si>
  <si>
    <t>vadepierre@gmail.com</t>
  </si>
  <si>
    <t>06 88 23 33 41</t>
  </si>
  <si>
    <t>Alice Coralie Vade &amp; Lea Juliet Vade</t>
  </si>
  <si>
    <t>laparte-creat@orange.fr</t>
  </si>
  <si>
    <t>CHAI VADE</t>
  </si>
  <si>
    <t>02 40 42 31 97</t>
  </si>
  <si>
    <t>Philippe</t>
  </si>
  <si>
    <t>Philippe Oger</t>
  </si>
  <si>
    <t>Déjà un salon par un autre agent</t>
  </si>
  <si>
    <t>Traiteur Tonnerre de Braise</t>
  </si>
  <si>
    <t>La Tonnelle Bar à vins</t>
  </si>
  <si>
    <t>Les Compagnons Cavistes</t>
  </si>
  <si>
    <t>Chateau-Thebaud</t>
  </si>
  <si>
    <t>contact@tonnerredebraise.com</t>
  </si>
  <si>
    <t>julie@compagnonscavistes.com</t>
  </si>
  <si>
    <t>02 41 29 06 33</t>
  </si>
  <si>
    <t>sarlbot@orange.fr</t>
  </si>
  <si>
    <t>06 04 65 76 69</t>
  </si>
  <si>
    <t>Julien et Julie</t>
  </si>
  <si>
    <t>02 41 59 44 56</t>
  </si>
  <si>
    <t>Anthony Vignault &amp; Anthony Eric Vignault</t>
  </si>
  <si>
    <t>TONNERRE DE BRAISE TRAITEUR (TONNERRE DE BRAISE SMOCKEHOUSE)</t>
  </si>
  <si>
    <t>À Table naturellement</t>
  </si>
  <si>
    <t>Restaurant/Bar à vins Gargamelle</t>
  </si>
  <si>
    <t>compagnons.cavistes@wanadoo.fr</t>
  </si>
  <si>
    <t xml:space="preserve"> Jean-Louis</t>
  </si>
  <si>
    <t>info@atable-naturellement.fr</t>
  </si>
  <si>
    <t xml:space="preserve">renvoyer mail +liste mais temps perso </t>
  </si>
  <si>
    <t>caveamanger@gargamelle.fr</t>
  </si>
  <si>
    <t>02 41 67 12 86</t>
  </si>
  <si>
    <t>Laitière Gilbert</t>
  </si>
  <si>
    <t>https://www.atable-naturellement.fr</t>
  </si>
  <si>
    <t>L'Auberge du Vigneron</t>
  </si>
  <si>
    <t>j.bela41@gmail.com</t>
  </si>
  <si>
    <t>06 63 49 59 30</t>
  </si>
  <si>
    <t>Épicerie fine</t>
  </si>
  <si>
    <t>Terranjou</t>
  </si>
  <si>
    <t>49380</t>
  </si>
  <si>
    <t>Vitré</t>
  </si>
  <si>
    <t>aubergeduvigneron49@gmail.com</t>
  </si>
  <si>
    <t>02 41 44 13 99</t>
  </si>
  <si>
    <t>chouanpierrick@gmail.com</t>
  </si>
  <si>
    <t>comptabilitefournisseur@dvfrance.com</t>
  </si>
  <si>
    <t>Angelo Granata</t>
  </si>
  <si>
    <t>02 28 69 60 44</t>
  </si>
  <si>
    <t>Pierre Maligny</t>
  </si>
  <si>
    <t>GIOBRI (CHEZ ANGELO)</t>
  </si>
  <si>
    <t>https://www.laiterie-gilbert.fr</t>
  </si>
  <si>
    <t>Soif de Terroir</t>
  </si>
  <si>
    <t>Durtal</t>
  </si>
  <si>
    <t>49430</t>
  </si>
  <si>
    <t>Bar à vins Loire Gourmande</t>
  </si>
  <si>
    <t>soifdeterroir@hotmail.fr</t>
  </si>
  <si>
    <t>Turquant</t>
  </si>
  <si>
    <t>09 81 30 38 66</t>
  </si>
  <si>
    <t>49730</t>
  </si>
  <si>
    <t>Emilie Lecomte</t>
  </si>
  <si>
    <t>Déjà un salon + whiskys live</t>
  </si>
  <si>
    <t>accueil@loire-gourmande.fr</t>
  </si>
  <si>
    <t>06 77 23 57 90</t>
  </si>
  <si>
    <t>La cave et ses délices</t>
  </si>
  <si>
    <t>Erdre-en-Anjou</t>
  </si>
  <si>
    <t>49220</t>
  </si>
  <si>
    <t>lacaveetsesdelices@orange.fr</t>
  </si>
  <si>
    <t>PAs de voiture donc non</t>
  </si>
  <si>
    <t>La Ronde des Vins</t>
  </si>
  <si>
    <t>Seiches-sur-le-Loir</t>
  </si>
  <si>
    <t>49140</t>
  </si>
  <si>
    <t>Marie-Pierre Bidault &amp; Marc Duquesnay</t>
  </si>
  <si>
    <t>la-ronde-des-vins@orange.fr</t>
  </si>
  <si>
    <t>A TABLE NATURELLEMENT (A TABLE NATURELLEMENT)</t>
  </si>
  <si>
    <t>Le Byggvir - Cave &amp; Bar - Fougères Beaucé</t>
  </si>
  <si>
    <t>La Cave de Jaby</t>
  </si>
  <si>
    <t>Sèvremoine</t>
  </si>
  <si>
    <t>Beaucé</t>
  </si>
  <si>
    <t>lacavedejaby@orange.fr</t>
  </si>
  <si>
    <t>35133</t>
  </si>
  <si>
    <t>02 41 28 71 12</t>
  </si>
  <si>
    <t>Jean-Antoine</t>
  </si>
  <si>
    <t>contact@lebyggvir.fr</t>
  </si>
  <si>
    <t>Jean-Antoine Boyer</t>
  </si>
  <si>
    <t>Anjou Saveurs</t>
  </si>
  <si>
    <t>+33 2 99 17 92 43</t>
  </si>
  <si>
    <t>Tiercé</t>
  </si>
  <si>
    <t>Beaucouzé</t>
  </si>
  <si>
    <t>49125</t>
  </si>
  <si>
    <t>Le Fûtoir</t>
  </si>
  <si>
    <t>contact@anjousaveurs.fr</t>
  </si>
  <si>
    <t>Bar à vin</t>
  </si>
  <si>
    <t>02 44 51 30 51</t>
  </si>
  <si>
    <t>Cesson-Sévigné</t>
  </si>
  <si>
    <t>Latelier du Vin</t>
  </si>
  <si>
    <t>35510</t>
  </si>
  <si>
    <t>Depuis 2008, cuisine gourmande, démarche éco-responsable</t>
  </si>
  <si>
    <t>Beaupréau en Mauges</t>
  </si>
  <si>
    <t>Recherche manuelle (email vérifié sur site officiel)</t>
  </si>
  <si>
    <t>lefutoir@gmail.com</t>
  </si>
  <si>
    <t>crawl boncaviste</t>
  </si>
  <si>
    <t>latelierduvin@vinsetc.fr</t>
  </si>
  <si>
    <t>Crawl site</t>
  </si>
  <si>
    <t>Garreau Tony Traiteur (Gar-ô Traiteur)</t>
  </si>
  <si>
    <t>02 41 75 54 12</t>
  </si>
  <si>
    <t>https://lefutoir.fr</t>
  </si>
  <si>
    <t>Cheffes</t>
  </si>
  <si>
    <t>A boire à manger</t>
  </si>
  <si>
    <t>garreautony.traiteur@gmail.com</t>
  </si>
  <si>
    <t>contact@aboiremanger.com</t>
  </si>
  <si>
    <t>02 41 42 15 15</t>
  </si>
  <si>
    <t>Yan</t>
  </si>
  <si>
    <t>Le Comptoir</t>
  </si>
  <si>
    <t>Tony Garreau</t>
  </si>
  <si>
    <t>GAR-O-TRAITEUR (SIREN 817876436)</t>
  </si>
  <si>
    <t>Châteaubourg</t>
  </si>
  <si>
    <t>Événements privés et institutionnels</t>
  </si>
  <si>
    <t>Vérifié directement</t>
  </si>
  <si>
    <t>35220</t>
  </si>
  <si>
    <t>Traiteur - OJ Traiteur</t>
  </si>
  <si>
    <t>Buvons Heureux - La cave plaisir</t>
  </si>
  <si>
    <t>Le Comptoir de Mathieu</t>
  </si>
  <si>
    <t>lecomptoir35@gmail.com</t>
  </si>
  <si>
    <t>contact@buvonsheureux.fr</t>
  </si>
  <si>
    <t>ojtraiteur@outlook.com</t>
  </si>
  <si>
    <t>+33 9 81 06 95 92</t>
  </si>
  <si>
    <t>autour-du-pastis@orange.fr</t>
  </si>
  <si>
    <t>Rodolphe</t>
  </si>
  <si>
    <t>Jeremy Steinmetz</t>
  </si>
  <si>
    <t>JEREMY STEINMETZ (O'J TRAITEUR)</t>
  </si>
  <si>
    <t>La Brasserie de Dinan</t>
  </si>
  <si>
    <t>TRAITEUR LE GUÉRIN DES FONTAINES</t>
  </si>
  <si>
    <t>Le Repaire</t>
  </si>
  <si>
    <t>contact@labrasseriededinan.com</t>
  </si>
  <si>
    <t>+33 2 96 89 87 56</t>
  </si>
  <si>
    <t>https://autourdupastis-85.fr/</t>
  </si>
  <si>
    <t>Attention pas dans le département</t>
  </si>
  <si>
    <t>Combourg</t>
  </si>
  <si>
    <t>leguerindesfontaines@orange.fr</t>
  </si>
  <si>
    <t>35270</t>
  </si>
  <si>
    <t>La Cave de Fablo</t>
  </si>
  <si>
    <t>02 41 80 38 03</t>
  </si>
  <si>
    <t>lacavedefablo@gmail.com</t>
  </si>
  <si>
    <t>lerepairecombourg@gmail.com</t>
  </si>
  <si>
    <t>+33 2 99 66 35 08</t>
  </si>
  <si>
    <t>https://www.lerepaire35.fr</t>
  </si>
  <si>
    <t>Les caves du coin</t>
  </si>
  <si>
    <t>contact@mat2vins.fr</t>
  </si>
  <si>
    <t>+33299813036</t>
  </si>
  <si>
    <t>Angau &amp; Co</t>
  </si>
  <si>
    <t>Ty Grou</t>
  </si>
  <si>
    <t>35150</t>
  </si>
  <si>
    <t>Le Beret la Bamboche</t>
  </si>
  <si>
    <t>contact@aupresdemablonde.fr</t>
  </si>
  <si>
    <t>+33 2 99 47 35 29</t>
  </si>
  <si>
    <t>traiteur@angau-co.fr</t>
  </si>
  <si>
    <t>Rennes</t>
  </si>
  <si>
    <t>Aux Palais des Vignobles</t>
  </si>
  <si>
    <t>35000</t>
  </si>
  <si>
    <t>Bain-de-Bretagne</t>
  </si>
  <si>
    <t>35470</t>
  </si>
  <si>
    <t>leberetbbc@gmail.com</t>
  </si>
  <si>
    <t>contact@auxpalaisdesvignobles.fr</t>
  </si>
  <si>
    <t>tel:0299438020</t>
  </si>
  <si>
    <t>La Maison d'Oya</t>
  </si>
  <si>
    <t>https://www.le-beret.fr</t>
  </si>
  <si>
    <t>Mon Bon Marché</t>
  </si>
  <si>
    <t>L'Île-D'Yeu</t>
  </si>
  <si>
    <t>Bréal-sous-Montfort</t>
  </si>
  <si>
    <t>35310</t>
  </si>
  <si>
    <t>https://www.angau-traiteur-rennes.fr/</t>
  </si>
  <si>
    <t>contact@lamaisondoya.fr</t>
  </si>
  <si>
    <t>contact@monbonmarche.fr</t>
  </si>
  <si>
    <t>tel:0299146069</t>
  </si>
  <si>
    <t>Le Comptoir Vins et Bières</t>
  </si>
  <si>
    <t>Vraiment pas interresé</t>
  </si>
  <si>
    <t>Ma Cave Alambic</t>
  </si>
  <si>
    <t>Saint-Malo</t>
  </si>
  <si>
    <t>35400</t>
  </si>
  <si>
    <t>https://lamaisondoya.fr/</t>
  </si>
  <si>
    <t>expedition@alambic.fr</t>
  </si>
  <si>
    <t>+33 2 23 20 05 05</t>
  </si>
  <si>
    <t>vanessa@lecomptoirvinsbieres.fr</t>
  </si>
  <si>
    <t>Mr et Mme Gauthier</t>
  </si>
  <si>
    <t>Transmet au patron</t>
  </si>
  <si>
    <t>https://www.lecomptoirvinsbieres.fr</t>
  </si>
  <si>
    <t>Cave de Cesson</t>
  </si>
  <si>
    <t>cavedecesson@yahoo.com</t>
  </si>
  <si>
    <t>02 23 05 88 45</t>
  </si>
  <si>
    <t>Betty et Emmanuelle</t>
  </si>
  <si>
    <t>Le Malt In'pot</t>
  </si>
  <si>
    <t>Betty Perrin et Emmanuelle Simon</t>
  </si>
  <si>
    <t>Tinténiac</t>
  </si>
  <si>
    <t>35190</t>
  </si>
  <si>
    <t>lemaltinpot@gmail.com</t>
  </si>
  <si>
    <t>http://www.le-malt-in-pot.fr</t>
  </si>
  <si>
    <t>La Cave de Célestine</t>
  </si>
  <si>
    <t>Chantepie</t>
  </si>
  <si>
    <t>35135</t>
  </si>
  <si>
    <t>Dominique Habibi</t>
  </si>
  <si>
    <t>contact@lacavedecelestine.fr</t>
  </si>
  <si>
    <t>+33 2 99 92 00 82</t>
  </si>
  <si>
    <t>Breizhou</t>
  </si>
  <si>
    <t>RDV médical pour son fils</t>
  </si>
  <si>
    <t>dominique.habibi@orange.fr</t>
  </si>
  <si>
    <t>contact@breizhou.fr</t>
  </si>
  <si>
    <t xml:space="preserve">La Cale </t>
  </si>
  <si>
    <t>Cancale</t>
  </si>
  <si>
    <t>V AND B</t>
  </si>
  <si>
    <t>hello@lacale-cancale.fr</t>
  </si>
  <si>
    <t>02 99 89 65 71 ou 02 99 40 26 06</t>
  </si>
  <si>
    <t>Jean et Noémie</t>
  </si>
  <si>
    <t>Bonchamp-Les-Laval</t>
  </si>
  <si>
    <t>53960</t>
  </si>
  <si>
    <t>Caves Hardy - Chartres-de-Bretagne</t>
  </si>
  <si>
    <t>La Muse Breizh</t>
  </si>
  <si>
    <t>Chartres-de-Bretagne</t>
  </si>
  <si>
    <t>bonchamp@vandb.fr</t>
  </si>
  <si>
    <t>35131</t>
  </si>
  <si>
    <t>https://www.breizhou.fr/</t>
  </si>
  <si>
    <t>chartres-de-bretagne@caveshardy.fr</t>
  </si>
  <si>
    <t>02 43 65 10 63</t>
  </si>
  <si>
    <t>02 99 77 17 58</t>
  </si>
  <si>
    <t>contact@lamusebreizh.fr</t>
  </si>
  <si>
    <t>David</t>
  </si>
  <si>
    <t>Stéphanie et David Hardy</t>
  </si>
  <si>
    <t>Transmis par cave de janze</t>
  </si>
  <si>
    <t>La Cave des Saveurs</t>
  </si>
  <si>
    <t>Bisou</t>
  </si>
  <si>
    <t>Laval</t>
  </si>
  <si>
    <t>contact@la-cave-des-saveurs35.fr</t>
  </si>
  <si>
    <t>53000</t>
  </si>
  <si>
    <t>+33 2 99 00 72 41</t>
  </si>
  <si>
    <t>bisoulaval@gmail.com</t>
  </si>
  <si>
    <t>Cave vendu le 15 octobre donc non</t>
  </si>
  <si>
    <t>La cour d'orgère</t>
  </si>
  <si>
    <t>07 81 82 05 44</t>
  </si>
  <si>
    <t>Le Comptoir Chateaubourg</t>
  </si>
  <si>
    <t>contact@lacourdorgeres.com</t>
  </si>
  <si>
    <t>https://www.lacourdorgeres.com/</t>
  </si>
  <si>
    <t>09 82 41 62 07</t>
  </si>
  <si>
    <t>Black Bear</t>
  </si>
  <si>
    <t>Cyprien</t>
  </si>
  <si>
    <t>Autour d'un Verre</t>
  </si>
  <si>
    <t>Châteaugiron</t>
  </si>
  <si>
    <t>35410</t>
  </si>
  <si>
    <t>blackbearlaval@gmail.com</t>
  </si>
  <si>
    <t>autourdunverre35@gmail.com</t>
  </si>
  <si>
    <t>0244726113</t>
  </si>
  <si>
    <t>+33 2 99 37 28 66</t>
  </si>
  <si>
    <t>Chez Arthur</t>
  </si>
  <si>
    <t>ENvoyer liste</t>
  </si>
  <si>
    <t>Romain Roger Claude Belloir &amp; Jonathan Chevillard</t>
  </si>
  <si>
    <t>BLACK BEAR LAVAL (BLACK BEAR LAVAL)</t>
  </si>
  <si>
    <t>chezarthur.saintmalo@gmail.com</t>
  </si>
  <si>
    <t>La Cave d'Emeraude</t>
  </si>
  <si>
    <t>Dinard</t>
  </si>
  <si>
    <t>35800</t>
  </si>
  <si>
    <t>dinard@sommeliers-cavistes.com</t>
  </si>
  <si>
    <t>L'After Work</t>
  </si>
  <si>
    <t>Cave 3B</t>
  </si>
  <si>
    <t>Côté Vignoble</t>
  </si>
  <si>
    <t>contact@after-work-laval.fr</t>
  </si>
  <si>
    <t>Dol-de-Bretagne</t>
  </si>
  <si>
    <t>35120</t>
  </si>
  <si>
    <t>Julien Gatinault</t>
  </si>
  <si>
    <t>https://chez-arthur.eatbu.com/?lang=fr</t>
  </si>
  <si>
    <t>L'AFTER WORK</t>
  </si>
  <si>
    <t>contact@cotevignoble.com</t>
  </si>
  <si>
    <t>02 99 48 19 72</t>
  </si>
  <si>
    <t>Brice</t>
  </si>
  <si>
    <t>Mr Costantini</t>
  </si>
  <si>
    <t>L'Antre Potes</t>
  </si>
  <si>
    <t>Tous à la Cave !</t>
  </si>
  <si>
    <t>Guichen</t>
  </si>
  <si>
    <t>35580</t>
  </si>
  <si>
    <t>contact@antrepotes.net</t>
  </si>
  <si>
    <t>tous-a-la-cave@orange.fr</t>
  </si>
  <si>
    <t>02 43 53 26 39</t>
  </si>
  <si>
    <t xml:space="preserve">ENvoyer liste bcp de salon donc pas sur </t>
  </si>
  <si>
    <t>La Réserve</t>
  </si>
  <si>
    <t>Gévezé</t>
  </si>
  <si>
    <t>35850</t>
  </si>
  <si>
    <t>L'emphytéose</t>
  </si>
  <si>
    <t>lareservegeveze@gmail.com</t>
  </si>
  <si>
    <t>+33 2 99 39 33 39</t>
  </si>
  <si>
    <t>Tres intérréssé  envoyer toute les infos</t>
  </si>
  <si>
    <t>La Petite Cave</t>
  </si>
  <si>
    <t>La Guerche-de-Bretagne</t>
  </si>
  <si>
    <t>emphyteose@orange.fr</t>
  </si>
  <si>
    <t>lapetitecave@yahoo.fr</t>
  </si>
  <si>
    <t>02 99 96 01 08</t>
  </si>
  <si>
    <t>Fabien</t>
  </si>
  <si>
    <t>02.43.65.29.47</t>
  </si>
  <si>
    <t>Caves Hardy - Janzé</t>
  </si>
  <si>
    <t>Janzé</t>
  </si>
  <si>
    <t>janze@caveshardy.fr</t>
  </si>
  <si>
    <t>02 99 47 18 81</t>
  </si>
  <si>
    <t>Romain</t>
  </si>
  <si>
    <t>Transmet aux autres caves</t>
  </si>
  <si>
    <t>La Canchanchara</t>
  </si>
  <si>
    <t>Le Chai Saint Vincent</t>
  </si>
  <si>
    <t>L'Auberge du Petit Bonheur</t>
  </si>
  <si>
    <t>La Mézière</t>
  </si>
  <si>
    <t>35520</t>
  </si>
  <si>
    <t>Le Verger</t>
  </si>
  <si>
    <t>contact@le.chai.saint.vincent.fr</t>
  </si>
  <si>
    <t xml:space="preserve">02 99 69 20 23 </t>
  </si>
  <si>
    <t>lacanchanchara@outlook.fr</t>
  </si>
  <si>
    <t>le-petit-bonheur@live.fr</t>
  </si>
  <si>
    <t>Vincent et Ludivine</t>
  </si>
  <si>
    <t>02 43 67 18 62</t>
  </si>
  <si>
    <t>Vignes et Gourmandises</t>
  </si>
  <si>
    <t>Laillé</t>
  </si>
  <si>
    <t>Veronique Richard (Dupuis)</t>
  </si>
  <si>
    <t>35890</t>
  </si>
  <si>
    <t>LCC (LA CANCHANCHARA)</t>
  </si>
  <si>
    <t>vignesetgourmandises@orange.fr</t>
  </si>
  <si>
    <t>Fermer def</t>
  </si>
  <si>
    <t>De Vignes En Verres Liffré</t>
  </si>
  <si>
    <t>Liffré</t>
  </si>
  <si>
    <t>35340</t>
  </si>
  <si>
    <t>contact@cave-liffre.fr</t>
  </si>
  <si>
    <t>Le Castel 9</t>
  </si>
  <si>
    <t>02 99 68 48 68</t>
  </si>
  <si>
    <t>https://www.le-petit-bonheur-verger.fr</t>
  </si>
  <si>
    <t>Julien</t>
  </si>
  <si>
    <t>VA enchainer les salons donc tombe bien envoyer liste</t>
  </si>
  <si>
    <t>castel9laval@gmail.com</t>
  </si>
  <si>
    <t>L'Alambic</t>
  </si>
  <si>
    <t>Lécousse</t>
  </si>
  <si>
    <t>02 43 53 50 41</t>
  </si>
  <si>
    <t>David Garnier</t>
  </si>
  <si>
    <t>DAVID GARNIER</t>
  </si>
  <si>
    <t>Mr Mme Gauthier</t>
  </si>
  <si>
    <t>Les Couleurs du Vignoble</t>
  </si>
  <si>
    <t>Montfort-sur-Meu</t>
  </si>
  <si>
    <t>Le Jaja</t>
  </si>
  <si>
    <t>35160</t>
  </si>
  <si>
    <t>lescouleursduvignoble@orange.fr</t>
  </si>
  <si>
    <t>Trop solicité + tete sous l'eau</t>
  </si>
  <si>
    <t>jajadivin@orange.fr</t>
  </si>
  <si>
    <t>09 83 42 71 61</t>
  </si>
  <si>
    <t>Caves Hardy - Noyal-Châtillon</t>
  </si>
  <si>
    <t>Noyal-Châtillon-sur-Seiche</t>
  </si>
  <si>
    <t>35230</t>
  </si>
  <si>
    <t>09 80 33 26 68</t>
  </si>
  <si>
    <t>Pascal Fougere &amp; Gilles Lhotellier</t>
  </si>
  <si>
    <t>La Cale Gourmande</t>
  </si>
  <si>
    <t>Transmis par janze</t>
  </si>
  <si>
    <t>JAJA DIVIN</t>
  </si>
  <si>
    <t>A Cantina</t>
  </si>
  <si>
    <t>Pacé</t>
  </si>
  <si>
    <t>contact@lacalegourmande.fr</t>
  </si>
  <si>
    <t>35740</t>
  </si>
  <si>
    <t>cave.acantina@gmail.com</t>
  </si>
  <si>
    <t>Le Jardin Bavarois</t>
  </si>
  <si>
    <t>+33 2 99 67 95 26</t>
  </si>
  <si>
    <t>fermer def</t>
  </si>
  <si>
    <t>La Cave de Merlin</t>
  </si>
  <si>
    <t>lejardinbavarois@hotmail.com</t>
  </si>
  <si>
    <t>Plélan-Le-Grand</t>
  </si>
  <si>
    <t>06 43 30 01 22</t>
  </si>
  <si>
    <t>35380</t>
  </si>
  <si>
    <t>lacavedemerlin@orange.fr</t>
  </si>
  <si>
    <t>Maxime Daoudal &amp; Ruth Kiehlmeier</t>
  </si>
  <si>
    <t>+33 2 99 61 49 43</t>
  </si>
  <si>
    <t>LE JARDIN BAVAROIS</t>
  </si>
  <si>
    <t>Plus de salon cette année</t>
  </si>
  <si>
    <t>https://www.lacalegourmande.fr/</t>
  </si>
  <si>
    <t>Cave perais</t>
  </si>
  <si>
    <t>Redon</t>
  </si>
  <si>
    <t>Le Ponceau</t>
  </si>
  <si>
    <t>35600</t>
  </si>
  <si>
    <t>Paul et Joseph savenay</t>
  </si>
  <si>
    <t>marion-aurelien@orange.fr</t>
  </si>
  <si>
    <t>Brut de Fût</t>
  </si>
  <si>
    <t>hardy</t>
  </si>
  <si>
    <t>02.43.02.90.72</t>
  </si>
  <si>
    <t>Gilles Hubert (Hubert) &amp; Nelly Nicole Bernadette Hubert (Renou)</t>
  </si>
  <si>
    <t>LE PONCEAU</t>
  </si>
  <si>
    <t>contact@brutdefut-rennes.fr</t>
  </si>
  <si>
    <t>1994</t>
  </si>
  <si>
    <t>+33 2 99 03 62 84</t>
  </si>
  <si>
    <t>Rayane</t>
  </si>
  <si>
    <t>Intérréssé lui ou son collegue rayane</t>
  </si>
  <si>
    <t>Les 3 petits cochons</t>
  </si>
  <si>
    <t>Chez Alain</t>
  </si>
  <si>
    <t>contact@caveabiere-rennes.com</t>
  </si>
  <si>
    <t>+33 2 99 50 28 30</t>
  </si>
  <si>
    <t>contact@restaurantles3petitscochonslaval.fr</t>
  </si>
  <si>
    <t>02 43 65 63 28</t>
  </si>
  <si>
    <t xml:space="preserve">Biere </t>
  </si>
  <si>
    <t>Rodolphe Bukin (Bukin) &amp; R.N.B.D.</t>
  </si>
  <si>
    <t>B-KRAN (LES 3 PETITS COCHON'S)</t>
  </si>
  <si>
    <t>Histoires de Vins</t>
  </si>
  <si>
    <t>histoiresdevins@gmail.com</t>
  </si>
  <si>
    <t>Levrette Café Laval</t>
  </si>
  <si>
    <t>Seulement des vins nature</t>
  </si>
  <si>
    <t>La Cerise sur le gâteau</t>
  </si>
  <si>
    <t>La Cave du Sommelier</t>
  </si>
  <si>
    <t>laval@levrettecafe.fr</t>
  </si>
  <si>
    <t>02 43 65 75 23</t>
  </si>
  <si>
    <t>contact@lacavedusommelier.fr</t>
  </si>
  <si>
    <t>jl@ahlacerisesurlegateau.fr</t>
  </si>
  <si>
    <t>+33 2 99 63 14 68</t>
  </si>
  <si>
    <t>Maxime Lhuissier</t>
  </si>
  <si>
    <t>cave 3B</t>
  </si>
  <si>
    <t>MTA CAFE (LEVRETTE CAFE)</t>
  </si>
  <si>
    <t>Le Cellier Rennais</t>
  </si>
  <si>
    <t>35200</t>
  </si>
  <si>
    <t>O'Regans Pub</t>
  </si>
  <si>
    <t>info@lecellierrennais.com</t>
  </si>
  <si>
    <t>+33 2 99 41 98 83</t>
  </si>
  <si>
    <t>https://www.ahlacerisesurlegateau.fr/</t>
  </si>
  <si>
    <t>oreganslaval@yahoo.fr</t>
  </si>
  <si>
    <t>Le Cellier des Longchamps</t>
  </si>
  <si>
    <t>02 43 53 37 22</t>
  </si>
  <si>
    <t>35700</t>
  </si>
  <si>
    <t>cellierdeslongchamps@orange.fr</t>
  </si>
  <si>
    <t>02 99 63 21 67</t>
  </si>
  <si>
    <t>V AND B - Le Palais de la bière</t>
  </si>
  <si>
    <t>Le Pif en L'Air</t>
  </si>
  <si>
    <t>Saint-Berthevin</t>
  </si>
  <si>
    <t>lepifenlair@gmail.com</t>
  </si>
  <si>
    <t>53940</t>
  </si>
  <si>
    <t>02 23 47 88 93</t>
  </si>
  <si>
    <t>stberthevin@vandb.fr</t>
  </si>
  <si>
    <t>Envoyer liste + voir avec Buvons heureux (oui) et cave celestin (non)</t>
  </si>
  <si>
    <t>02 43 68 25 27</t>
  </si>
  <si>
    <t>Saint Louis des Lys</t>
  </si>
  <si>
    <t>vinc.fichet@gmail.com</t>
  </si>
  <si>
    <t>02 23 42 04 20</t>
  </si>
  <si>
    <t>L'ARDOISE DE ST PIERRE</t>
  </si>
  <si>
    <t>Vincent Fichet</t>
  </si>
  <si>
    <t>Pas intérréssé</t>
  </si>
  <si>
    <t>Saint-Pierre-Des-Nids</t>
  </si>
  <si>
    <t>53370</t>
  </si>
  <si>
    <t>Les 320</t>
  </si>
  <si>
    <t>35001</t>
  </si>
  <si>
    <t>bi.you@live.fr</t>
  </si>
  <si>
    <t>02 43 30 39 24</t>
  </si>
  <si>
    <t>lacaveles320@gmail.com</t>
  </si>
  <si>
    <t>Antoine</t>
  </si>
  <si>
    <t>David Gentil</t>
  </si>
  <si>
    <t>Tout en canon</t>
  </si>
  <si>
    <t>Logis Hôtel OASIS - Réceptions, événements familiaux</t>
  </si>
  <si>
    <t>cave.toutencanon@gmail.com</t>
  </si>
  <si>
    <t>Les Menus bretons</t>
  </si>
  <si>
    <t>+33 2 23 41 38 98</t>
  </si>
  <si>
    <t>Villaines-La-Juhel</t>
  </si>
  <si>
    <t>ENvoyer liste à l'équipe</t>
  </si>
  <si>
    <t>53700</t>
  </si>
  <si>
    <t>contact@lesmenusbretons.fr</t>
  </si>
  <si>
    <t>Le Comptoir Black Bear</t>
  </si>
  <si>
    <t>oasis@oasis.fr</t>
  </si>
  <si>
    <t>0243032867</t>
  </si>
  <si>
    <t>06 79 53 28 50</t>
  </si>
  <si>
    <t>Guillaume</t>
  </si>
  <si>
    <t>Confidence des Vignobles</t>
  </si>
  <si>
    <t>cdv.commerce35@gmail.com</t>
  </si>
  <si>
    <t>02 99 51 28 04</t>
  </si>
  <si>
    <t>Florent</t>
  </si>
  <si>
    <t>S&amp;A en Foly</t>
  </si>
  <si>
    <t>La Cave de la Roche aux Fées</t>
  </si>
  <si>
    <t>Retiers</t>
  </si>
  <si>
    <t>Vezin-Le-Coquet</t>
  </si>
  <si>
    <t>Au bon muscadet</t>
  </si>
  <si>
    <t>cavedelarocheauxfees@orange.fr</t>
  </si>
  <si>
    <t>team@samoussas-accras.fr</t>
  </si>
  <si>
    <t>+33 2 99 43 66 75</t>
  </si>
  <si>
    <t>Allaire</t>
  </si>
  <si>
    <t>Pas possible car trop de livraison</t>
  </si>
  <si>
    <t>56350</t>
  </si>
  <si>
    <t>La Cave de la Baie</t>
  </si>
  <si>
    <t>aubonmus@gmail.com</t>
  </si>
  <si>
    <t>Saint-Benoît-des-Ondes</t>
  </si>
  <si>
    <t>35114</t>
  </si>
  <si>
    <t>lacavedelabaie@gmail.com</t>
  </si>
  <si>
    <t>AU BON MUSCADET</t>
  </si>
  <si>
    <t>06 65 57 34 38</t>
  </si>
  <si>
    <t>Cedric</t>
  </si>
  <si>
    <t>Cedric Maupoint</t>
  </si>
  <si>
    <t>Message laiser sur messagerie</t>
  </si>
  <si>
    <t>Cave Briac &amp; Bacchus</t>
  </si>
  <si>
    <t>Saint-Briac-sur-Mer</t>
  </si>
  <si>
    <t>denis@briac-bacchus.fr</t>
  </si>
  <si>
    <t>Cave des Tuileries</t>
  </si>
  <si>
    <t>La Flemme Cave &amp; Bar</t>
  </si>
  <si>
    <t>Saint-Gilles</t>
  </si>
  <si>
    <t>35590</t>
  </si>
  <si>
    <t>Saint-Nolff</t>
  </si>
  <si>
    <t>contact@la-cave-des-tuileries.fr</t>
  </si>
  <si>
    <t>https://samoussas-accras.fr/</t>
  </si>
  <si>
    <t>56250</t>
  </si>
  <si>
    <t>Déja un autre salon sur rennes</t>
  </si>
  <si>
    <t>laflemmebar@gmail.com</t>
  </si>
  <si>
    <t>+33 2 52 32 14 11</t>
  </si>
  <si>
    <t>Les Bouteilles Bavardes</t>
  </si>
  <si>
    <t>Saint-Grégoire</t>
  </si>
  <si>
    <t>35760</t>
  </si>
  <si>
    <t>cecile@bouteillesbavardes.fr</t>
  </si>
  <si>
    <t>02 99 68 26 37</t>
  </si>
  <si>
    <t>Cécile Berthelot (caviste épicurienne)</t>
  </si>
  <si>
    <t>A appeller à 10h</t>
  </si>
  <si>
    <t>Brasserie du Vieux Singe</t>
  </si>
  <si>
    <t>Saint-Jacques-De-La-Lande</t>
  </si>
  <si>
    <t>35136</t>
  </si>
  <si>
    <t>contact@vieuxsinge.com</t>
  </si>
  <si>
    <t>+33 6 74 78 54 89</t>
  </si>
  <si>
    <t>A appeller à 13H30</t>
  </si>
  <si>
    <t>Cave des 4 vents</t>
  </si>
  <si>
    <t>cavedes4vents@orange.fr</t>
  </si>
  <si>
    <t>+33 2 99 35 08 65</t>
  </si>
  <si>
    <t>La Mer à Boire</t>
  </si>
  <si>
    <t>lameraboiresaintmalo@gmail.com</t>
  </si>
  <si>
    <t>+33 2 99 40 05 05</t>
  </si>
  <si>
    <t>Charcuterie Chauveau</t>
  </si>
  <si>
    <t>pas le bon départmeent</t>
  </si>
  <si>
    <t>Le Jus d'Octobre (3 caves)</t>
  </si>
  <si>
    <t>contact@charcuterie-chauveau.com</t>
  </si>
  <si>
    <t>contact@lejusdoctobre.com</t>
  </si>
  <si>
    <t>02 99 80 64 00</t>
  </si>
  <si>
    <t>Mr nevot</t>
  </si>
  <si>
    <t>David Nevot (gérant, site web)</t>
  </si>
  <si>
    <t>envoyer mail car patronpas la vont transferer le mail david nevot</t>
  </si>
  <si>
    <t>Le Jus d'Octobre (Rochebonne)</t>
  </si>
  <si>
    <t>https://www.charcuterie-chauveau.com/</t>
  </si>
  <si>
    <t>L'Abbaye Saint Jean</t>
  </si>
  <si>
    <t>caveabbayestjean@wanadoo.fr</t>
  </si>
  <si>
    <t xml:space="preserve">02 99 0 20 17 20 </t>
  </si>
  <si>
    <t>Yannic</t>
  </si>
  <si>
    <t>Cave d'Aleth</t>
  </si>
  <si>
    <t>info@lacavedaleth.com</t>
  </si>
  <si>
    <t>02 99 82 37 06</t>
  </si>
  <si>
    <t>Alice et Sébastien</t>
  </si>
  <si>
    <t>Alice et Sébastien Merel</t>
  </si>
  <si>
    <t>Caves Gautier</t>
  </si>
  <si>
    <t>35500</t>
  </si>
  <si>
    <t>gautier.vins@wanadoo.fr</t>
  </si>
  <si>
    <t>+33 2 99 75 03 16</t>
  </si>
  <si>
    <t>ATTENTION vigneron à vouvray</t>
  </si>
  <si>
    <t>Le Cellier Vitréen</t>
  </si>
  <si>
    <t>vitre@sommeliers-cavistes.com</t>
  </si>
  <si>
    <t>Cave 3B déjà inscrit</t>
  </si>
  <si>
    <t>Le Chai d'Anhon</t>
  </si>
  <si>
    <t>mag@chai-danthon.fr</t>
  </si>
  <si>
    <t>+33 2 99 75 38 48</t>
  </si>
  <si>
    <t>CHARCUTERIE TRAITEUR CHAUVEAU</t>
  </si>
  <si>
    <t xml:space="preserve">Ronan </t>
  </si>
  <si>
    <t>Transmet le mail au patron</t>
  </si>
  <si>
    <t>Bais</t>
  </si>
  <si>
    <t>Le Chai d'Anthon'</t>
  </si>
  <si>
    <t>chauveau.charcuterie@orange.fr</t>
  </si>
  <si>
    <t>02 43 58 54 06</t>
  </si>
  <si>
    <t>com@chai-danthon.fr</t>
  </si>
  <si>
    <t>Les 3 B</t>
  </si>
  <si>
    <t>LES HALLES : BOUCHERIE TRAITEUR RESTAURANT</t>
  </si>
  <si>
    <t>agnes@cfa-les3bvitre.com</t>
  </si>
  <si>
    <t>Chateau-Gontier-Sur-Mayenne</t>
  </si>
  <si>
    <t>Déja inscrit</t>
  </si>
  <si>
    <t>leshallesboucherierestaurant@gmail.com</t>
  </si>
  <si>
    <t>02 43 07 12 07</t>
  </si>
  <si>
    <t>Maison sauvage traiteur</t>
  </si>
  <si>
    <t>contact@traiteur-sauvage.com</t>
  </si>
  <si>
    <t>02 43 98 96 59</t>
  </si>
  <si>
    <t>Marlene Leblanc &amp; Pierre Sauvage</t>
  </si>
  <si>
    <t>MAISON SAUVAGE TRAITEUR</t>
  </si>
  <si>
    <t>les3b@sommeliers-caviste.com</t>
  </si>
  <si>
    <t>06 23 86 88 96</t>
  </si>
  <si>
    <t>MAY'N TRAITEUR</t>
  </si>
  <si>
    <t>Aron</t>
  </si>
  <si>
    <t>mayennetraiteur53@hotmail.com</t>
  </si>
  <si>
    <t>Fougères</t>
  </si>
  <si>
    <t>fougeres@3bsc.fr</t>
  </si>
  <si>
    <t>Pauline Marechal</t>
  </si>
  <si>
    <t>02 99 94 49 03</t>
  </si>
  <si>
    <t>PAULINE MARECHAL (MAY'N TRAITEUR)</t>
  </si>
  <si>
    <t>Jimmy</t>
  </si>
  <si>
    <t>Jimmy Vasser</t>
  </si>
  <si>
    <t>Mélibée Traiteur</t>
  </si>
  <si>
    <t>Cave février</t>
  </si>
  <si>
    <t>fevrier.cave@wanadoo.fr</t>
  </si>
  <si>
    <t>02 99 99 03 51</t>
  </si>
  <si>
    <t>Jimmy et Chloé</t>
  </si>
  <si>
    <t>contact@melibee-traiteur.com</t>
  </si>
  <si>
    <t>02 43 53 39 43</t>
  </si>
  <si>
    <t xml:space="preserve">Le Comptoir </t>
  </si>
  <si>
    <t>lecomptoirfougeres@gmail.com</t>
  </si>
  <si>
    <t>RESTAURANT - TRAITEUR LE RELAIS</t>
  </si>
  <si>
    <t>09-82-45-60-77/ 06 07 50 62 72</t>
  </si>
  <si>
    <t>Saint-Quentin-Les-Anges</t>
  </si>
  <si>
    <t>info@lerelais53.fr</t>
  </si>
  <si>
    <t>02 43 06 10 62</t>
  </si>
  <si>
    <t>Guide des Relais Routiers</t>
  </si>
  <si>
    <t>Montauban de Bretagne</t>
  </si>
  <si>
    <t>RESTAURANT TRAITEUR LA CENTAURÉE</t>
  </si>
  <si>
    <t>02 99 06 09 17</t>
  </si>
  <si>
    <t>Saint-Germain-Le-Guillaume</t>
  </si>
  <si>
    <t>la-centauree@orange.fr</t>
  </si>
  <si>
    <t>Chai d'rv</t>
  </si>
  <si>
    <t>02 43 26 23 30</t>
  </si>
  <si>
    <t>lechaidrv@orange.fr</t>
  </si>
  <si>
    <t>02 23 27 69 30</t>
  </si>
  <si>
    <t>Kevin</t>
  </si>
  <si>
    <t>RESTAURANT- TRAITEUR LE SAINT MATHURIN</t>
  </si>
  <si>
    <t>Le chai du barbu</t>
  </si>
  <si>
    <t>Saint Aubin</t>
  </si>
  <si>
    <t>Saint-Baudelle</t>
  </si>
  <si>
    <t>Contact@lechaisdubarbu,fr</t>
  </si>
  <si>
    <t>02 99 45 11 11</t>
  </si>
  <si>
    <t>st-mathurin@orange.fr</t>
  </si>
  <si>
    <t>02 43 04 84 71</t>
  </si>
  <si>
    <t>Cave du Marché</t>
  </si>
  <si>
    <t>RESTAURANT-TRAITEUR LA GOURMANDISE</t>
  </si>
  <si>
    <t>cavedumarche53@gmail.com</t>
  </si>
  <si>
    <t>+33 6 25 37 54 27</t>
  </si>
  <si>
    <t>La Croixille</t>
  </si>
  <si>
    <t>Benoît Gaëtan Aulnette</t>
  </si>
  <si>
    <t>Délai trop juste</t>
  </si>
  <si>
    <t>restolagourmandise@outlook.fr</t>
  </si>
  <si>
    <t>Gaston &amp; Compagnie</t>
  </si>
  <si>
    <t>02 43 68 57 70</t>
  </si>
  <si>
    <t>contact@gastonetcompagnie.fr</t>
  </si>
  <si>
    <t>+33 2 43 00 00 35</t>
  </si>
  <si>
    <t>Francois Arnaud Miguel Beaupied</t>
  </si>
  <si>
    <t>Rivière Traiteur</t>
  </si>
  <si>
    <t>La Cave du Genêteil</t>
  </si>
  <si>
    <t>Château-Gontier-sur-Mayenne</t>
  </si>
  <si>
    <t>53200</t>
  </si>
  <si>
    <t>cavedugeneteil@gmail.com</t>
  </si>
  <si>
    <t>02 43 07 86 13</t>
  </si>
  <si>
    <t>riviere.traiteur@orange.fr</t>
  </si>
  <si>
    <t>02 43 53 20 56</t>
  </si>
  <si>
    <t>Vineo Passion</t>
  </si>
  <si>
    <t>vineopassion@alicepro.fr</t>
  </si>
  <si>
    <t>tel:0681843442</t>
  </si>
  <si>
    <t>Sonnet Traiteur</t>
  </si>
  <si>
    <t>Le Millézime</t>
  </si>
  <si>
    <t>Cossé-le-Vivien</t>
  </si>
  <si>
    <t>53230</t>
  </si>
  <si>
    <t>sonnet.laurent@orange.fr</t>
  </si>
  <si>
    <t>lemillezime@gmail.com</t>
  </si>
  <si>
    <t>09 70 35 00 02</t>
  </si>
  <si>
    <t>Laurent Sonnet</t>
  </si>
  <si>
    <t>Va voir avec son mari</t>
  </si>
  <si>
    <t>LAURANVAL (SONNET TRAITEUR)</t>
  </si>
  <si>
    <t>La Cave Cosseenne</t>
  </si>
  <si>
    <t>Traiteur du Haut Anjou</t>
  </si>
  <si>
    <t>lacavecosseenne@gmail.com</t>
  </si>
  <si>
    <t>06 03 46 99 22</t>
  </si>
  <si>
    <t>traiteurduhautanjou@gmail.com</t>
  </si>
  <si>
    <t>Adrien</t>
  </si>
  <si>
    <t>Cyril Nicolas Boisseau &amp; Mickaël Michel Jacques Dupin</t>
  </si>
  <si>
    <t>De Vignes En Verres</t>
  </si>
  <si>
    <t>TRAITEUR DU HAUT ANJOU</t>
  </si>
  <si>
    <t>Ernée</t>
  </si>
  <si>
    <t>53500</t>
  </si>
  <si>
    <t>contact@dvev.fr</t>
  </si>
  <si>
    <t>02 43 13 08 52</t>
  </si>
  <si>
    <t>Traiteur les Délices</t>
  </si>
  <si>
    <t>LIffré</t>
  </si>
  <si>
    <t>Ahuille</t>
  </si>
  <si>
    <t>La Cave de Bib a Dom'</t>
  </si>
  <si>
    <t>contact@traiteurlesdelices.com</t>
  </si>
  <si>
    <t>Forcé</t>
  </si>
  <si>
    <t>53260</t>
  </si>
  <si>
    <t>bibadom53@gmail.com</t>
  </si>
  <si>
    <t>Denis Stéphane Claude Fremont</t>
  </si>
  <si>
    <t>06 30 20 17 29</t>
  </si>
  <si>
    <t>TRAITEUR LES DELICES</t>
  </si>
  <si>
    <t>Central Vin</t>
  </si>
  <si>
    <t>TRAITEUR L’HEDONISME</t>
  </si>
  <si>
    <t>Martigne-Sur-Mayenne</t>
  </si>
  <si>
    <t>centralevin@wanadoo.fr</t>
  </si>
  <si>
    <t>Anthonin</t>
  </si>
  <si>
    <t>lhedonismebysh@laposte.net</t>
  </si>
  <si>
    <t>Transmet l'info</t>
  </si>
  <si>
    <t>La Cave Lavalloise</t>
  </si>
  <si>
    <t>contact@cavelavalloise.com</t>
  </si>
  <si>
    <t>tel:0243692020</t>
  </si>
  <si>
    <t>Temporairement fermé</t>
  </si>
  <si>
    <t>Cave du Château</t>
  </si>
  <si>
    <t>DBA traiteur</t>
  </si>
  <si>
    <t>aulnette.anthony@gmail.com</t>
  </si>
  <si>
    <t>02 43 53 07 75 / 06 27 20 68 21</t>
  </si>
  <si>
    <t>Les Sables-D'Olonne</t>
  </si>
  <si>
    <t>Anthony</t>
  </si>
  <si>
    <t>dbatraiteur@gmail.com</t>
  </si>
  <si>
    <t>caveduchateau53@gmail.com</t>
  </si>
  <si>
    <t>Caves Gilbert Couge</t>
  </si>
  <si>
    <t>Mayenne</t>
  </si>
  <si>
    <t>53100</t>
  </si>
  <si>
    <t>https://www.dbatraiteur.fr/</t>
  </si>
  <si>
    <t>gicouge@wanadoo.fr</t>
  </si>
  <si>
    <t>02 43 11 29 23</t>
  </si>
  <si>
    <t>RDV med donc non</t>
  </si>
  <si>
    <t>Cave des Cinq Chemins</t>
  </si>
  <si>
    <t>Saint-Erblon</t>
  </si>
  <si>
    <t>53390</t>
  </si>
  <si>
    <t>cavedescinqchemins@wanadoo.fr</t>
  </si>
  <si>
    <t>tel:0243069468</t>
  </si>
  <si>
    <t>Messagerie en attente</t>
  </si>
  <si>
    <t>Cave le Sommelier DUVAL Arnaud</t>
  </si>
  <si>
    <t>Évron</t>
  </si>
  <si>
    <t>53600</t>
  </si>
  <si>
    <t>Pierre-Oscar Desrues &amp; Pierre-Oscar Albert Desrues (Desrues)</t>
  </si>
  <si>
    <t>lesommelier-evron@orange.fr</t>
  </si>
  <si>
    <t>DBA TRAITEUR (DU BOCAGE A L'ASSIETTE)</t>
  </si>
  <si>
    <t>Arnaud Duval</t>
  </si>
  <si>
    <t>L'Amaryllis Traiteur</t>
  </si>
  <si>
    <t>L'ivresse des sens</t>
  </si>
  <si>
    <t>Nesmy</t>
  </si>
  <si>
    <t>restaurantlamaryllis@orange.fr</t>
  </si>
  <si>
    <t>maxime.calmels@yahoo.com</t>
  </si>
  <si>
    <t>02 51 09 58 39</t>
  </si>
  <si>
    <t>maxime</t>
  </si>
  <si>
    <t>Réceptions familiales et associatives</t>
  </si>
  <si>
    <t>Vérifié directement (Deep Research indiquait "Vendée" comme ville — corrigé en Nesmy)</t>
  </si>
  <si>
    <t>cave quinton</t>
  </si>
  <si>
    <t>Le Tablier de Nico</t>
  </si>
  <si>
    <t>didier,quinton0430@orange,fr</t>
  </si>
  <si>
    <t>Sèvremont</t>
  </si>
  <si>
    <t>Didier</t>
  </si>
  <si>
    <t>nicolas.soullard@orange.fr</t>
  </si>
  <si>
    <t>Cave Challandaise</t>
  </si>
  <si>
    <t>https://solutionrepas.wordpress.com/</t>
  </si>
  <si>
    <t>Challans</t>
  </si>
  <si>
    <t>85300</t>
  </si>
  <si>
    <t>ralph.pillet@wanadoo.fr</t>
  </si>
  <si>
    <t>Ralph Pillet</t>
  </si>
  <si>
    <t>La Chopine</t>
  </si>
  <si>
    <t>Fontenay-le-Comte</t>
  </si>
  <si>
    <t>85200</t>
  </si>
  <si>
    <t>lachopine85@gmail.com</t>
  </si>
  <si>
    <t>Le Petit Tonneau</t>
  </si>
  <si>
    <t>lepetittonneau85@orange.fr</t>
  </si>
  <si>
    <t>Vacance</t>
  </si>
  <si>
    <t>La Cave des Chouans</t>
  </si>
  <si>
    <t>Jard-sur-Mer</t>
  </si>
  <si>
    <t>85520</t>
  </si>
  <si>
    <t>contact@cavedeschouans.com</t>
  </si>
  <si>
    <t>tel:0251203020</t>
  </si>
  <si>
    <t>Cave Yonnaise</t>
  </si>
  <si>
    <t>La Roche-sur-Yon</t>
  </si>
  <si>
    <t>85000</t>
  </si>
  <si>
    <t>pierrebatiot@hotmail.fr</t>
  </si>
  <si>
    <t>tel:0251054943</t>
  </si>
  <si>
    <t>Pierre Batiot</t>
  </si>
  <si>
    <t>Catalogue et documents envoyés en attente de retour</t>
  </si>
  <si>
    <t>Nicolas Soullard</t>
  </si>
  <si>
    <t>NICOLAS SOULLARD (NICOLAS SOULLARD) (à vérifier)</t>
  </si>
  <si>
    <t>Le Château-d'Olonne (Les Sables-d'Olonne)</t>
  </si>
  <si>
    <t>85180</t>
  </si>
  <si>
    <t>Maison Mauricio</t>
  </si>
  <si>
    <t>cave-du-chateau@wanadoo.fr</t>
  </si>
  <si>
    <t>La Roche-Sur-Yon</t>
  </si>
  <si>
    <t>Vins Sur 20</t>
  </si>
  <si>
    <t>maison.mauricio@outlook.fr</t>
  </si>
  <si>
    <t>Les Landes-Genusson</t>
  </si>
  <si>
    <t>85130</t>
  </si>
  <si>
    <t>mathieu.ravaud@sfr.fr</t>
  </si>
  <si>
    <t>02 51576008</t>
  </si>
  <si>
    <t>Mathieu Ravaud</t>
  </si>
  <si>
    <t>Bulle Blanc Rouge</t>
  </si>
  <si>
    <t>Les Sables-d'Olonne</t>
  </si>
  <si>
    <t>85340</t>
  </si>
  <si>
    <t>bulleblancrouge@gmail.com</t>
  </si>
  <si>
    <t>Maria De Fatima Felix Mauricio &amp; Valerio Mauricio Ruivo</t>
  </si>
  <si>
    <t>02 51 90 70 89</t>
  </si>
  <si>
    <t>MAISON MAURICIO (à vérifier)</t>
  </si>
  <si>
    <t>Retour aux Sources</t>
  </si>
  <si>
    <t>bulleblancrouge@wanadoo.fr</t>
  </si>
  <si>
    <t>contact@traiteur-sablais.fr</t>
  </si>
  <si>
    <t>Que du Vin - Les Pépites</t>
  </si>
  <si>
    <t>Moutiers-les-Mauxfaits</t>
  </si>
  <si>
    <t>85540</t>
  </si>
  <si>
    <t>tanguypoirier@queduvin.fr</t>
  </si>
  <si>
    <t>Tanguy Poirier</t>
  </si>
  <si>
    <t>Non pas intérréssé</t>
  </si>
  <si>
    <t>https://www.traiteur-sablais.fr/</t>
  </si>
  <si>
    <t>C&amp;B Cave</t>
  </si>
  <si>
    <t>Saint-Gilles-Croix-de-Vie</t>
  </si>
  <si>
    <t>85800</t>
  </si>
  <si>
    <t>pasquetsarl@wanadoo.fr</t>
  </si>
  <si>
    <t>Non</t>
  </si>
  <si>
    <t>Vins en Herbe</t>
  </si>
  <si>
    <t>vinsenherbes@gmail.com</t>
  </si>
  <si>
    <t>07 78 63 17 49</t>
  </si>
  <si>
    <t>Arnaud et Laurence</t>
  </si>
  <si>
    <t>Arnaud Plard et Laurence</t>
  </si>
  <si>
    <t>Tonton Bacchus</t>
  </si>
  <si>
    <t>Saint-Jean-de-Monts</t>
  </si>
  <si>
    <t>85160</t>
  </si>
  <si>
    <t>contact@tontonbacchus.fr</t>
  </si>
  <si>
    <t>equipe</t>
  </si>
  <si>
    <t>envoyer liste</t>
  </si>
  <si>
    <t>Le Chai des Copains</t>
  </si>
  <si>
    <t>Jessica Gadet (Gauvrit) &amp; Guillaume Lefort</t>
  </si>
  <si>
    <t>RETOUR AUX SOURCES, TRAITEUR SABLAIS</t>
  </si>
  <si>
    <t>lechaidescopains@free.fr</t>
  </si>
  <si>
    <t>06 16 48 43 30</t>
  </si>
  <si>
    <t>Philippe Gallard</t>
  </si>
  <si>
    <t>Caves Brégeon</t>
  </si>
  <si>
    <t>Saint-Martin-des-Noyers</t>
  </si>
  <si>
    <t>85140</t>
  </si>
  <si>
    <t>caves.bregeon@wanadoo.fr</t>
  </si>
  <si>
    <t>02 51 07 82 36</t>
  </si>
  <si>
    <t>L'Anthurium Traiteur</t>
  </si>
  <si>
    <t>Theix-Noyalo</t>
  </si>
  <si>
    <t>Cave la Fleur des Vignes</t>
  </si>
  <si>
    <t>Sallertaine</t>
  </si>
  <si>
    <t>info@anthurium-traiteur.com</t>
  </si>
  <si>
    <t>02 97 54 12 25</t>
  </si>
  <si>
    <t>cave.lafleurdesvignes@gmail.com</t>
  </si>
  <si>
    <t>Organisateur de réceptions, secteur Vannes depuis 1989</t>
  </si>
  <si>
    <t>Vins sur 20 - cave torréfacteur</t>
  </si>
  <si>
    <t>Talmont-Saint-Hilaire</t>
  </si>
  <si>
    <t>85440</t>
  </si>
  <si>
    <t>Les Saveurs d'Ophélie</t>
  </si>
  <si>
    <t>d.mathe981@laposte.net</t>
  </si>
  <si>
    <t>ophelietienne@gmail.com</t>
  </si>
  <si>
    <t>Vergers de Vendée</t>
  </si>
  <si>
    <t>Roche sur Yon</t>
  </si>
  <si>
    <t>j.ageneau@vergersgazeau.fr</t>
  </si>
  <si>
    <t>07 72 26 40 35</t>
  </si>
  <si>
    <t>Julien Ageneau</t>
  </si>
  <si>
    <t>Cave Vins et Caudalie</t>
  </si>
  <si>
    <t>Mouilleron le Captif</t>
  </si>
  <si>
    <t>https://les-saveurs-dophelie.fr/fr/page/accueil</t>
  </si>
  <si>
    <t>contact@vinsetcaudalies.com</t>
  </si>
  <si>
    <t>02 51 42 12 64</t>
  </si>
  <si>
    <t>Nicolas et Emilie</t>
  </si>
  <si>
    <t>A La Grande Cuvée</t>
  </si>
  <si>
    <t>La Verrie</t>
  </si>
  <si>
    <t>Anne de Bretagne</t>
  </si>
  <si>
    <t>alagrandecuvee@gmail.com</t>
  </si>
  <si>
    <t>Restaurant gastronomique</t>
  </si>
  <si>
    <t>06 21 49 30 12</t>
  </si>
  <si>
    <t>Fréderic et Nicolas</t>
  </si>
  <si>
    <t>La Plaine-Sur-Mer</t>
  </si>
  <si>
    <t>Cave A Papa</t>
  </si>
  <si>
    <t>Ile d'Yeu</t>
  </si>
  <si>
    <t>bienvenue@annedebretagne.com</t>
  </si>
  <si>
    <t>benoit.legorjus@gmail.com</t>
  </si>
  <si>
    <t>07 85 52 76 71</t>
  </si>
  <si>
    <t>02 40 21 54 72</t>
  </si>
  <si>
    <t>Benoît</t>
  </si>
  <si>
    <t>Benoît Legorjus</t>
  </si>
  <si>
    <t>Mathieu Guibert &amp; Gorioux Faro Et Associes</t>
  </si>
  <si>
    <t>HOTEL RESTAURANT ANNE DE BRETAGNE</t>
  </si>
  <si>
    <t>Cave des Rochettes</t>
  </si>
  <si>
    <t>Montaigu</t>
  </si>
  <si>
    <t>Gault Millau,Michelin</t>
  </si>
  <si>
    <t>info@cavedesrochettes.fr</t>
  </si>
  <si>
    <t>02 51 94 12 44</t>
  </si>
  <si>
    <t>Hubert et Joffrey</t>
  </si>
  <si>
    <t>Au G'Retz des Saisons</t>
  </si>
  <si>
    <t>Cave du Chêne</t>
  </si>
  <si>
    <t>Boissière de Montaigu</t>
  </si>
  <si>
    <t>Ophelie Renee Etienne (Etienne)</t>
  </si>
  <si>
    <t>La Bernerie-En-Retz</t>
  </si>
  <si>
    <t>OPHELIE ETIENNE (LES SAVEURS D'OPHELIE)</t>
  </si>
  <si>
    <t>caveduchene85@orange.fr</t>
  </si>
  <si>
    <t>02 51 41 57 91</t>
  </si>
  <si>
    <t>contact@augretzdessaisons.fr</t>
  </si>
  <si>
    <t>Poulain Traiteur</t>
  </si>
  <si>
    <t>02 51 74 61 60</t>
  </si>
  <si>
    <t>Au Terroir de Longeville</t>
  </si>
  <si>
    <t>Vannes</t>
  </si>
  <si>
    <t>Samuel Duchene &amp; Samuel Michel Victor Duchêne</t>
  </si>
  <si>
    <t>Longeville-sur-Mer</t>
  </si>
  <si>
    <t>AU G'RETZ DES SAISONS</t>
  </si>
  <si>
    <t>accueil@poulain-traiteur.com</t>
  </si>
  <si>
    <t>auterroirdelongeville@gmail.com</t>
  </si>
  <si>
    <t>02 51 33 28 44</t>
  </si>
  <si>
    <t>02 97 36 53 37</t>
  </si>
  <si>
    <t>Michelin</t>
  </si>
  <si>
    <t>30 ans expérience, couvre Vannes/Lorient/Pontivy</t>
  </si>
  <si>
    <t>brut.</t>
  </si>
  <si>
    <t>Papilles et Papillottes</t>
  </si>
  <si>
    <t>Sable d'Olonne</t>
  </si>
  <si>
    <t>pepsolonne@gmail.com</t>
  </si>
  <si>
    <t>07 72 31 83 77</t>
  </si>
  <si>
    <t>Franck et Celine</t>
  </si>
  <si>
    <t>restaurantsbrut@gmail.com</t>
  </si>
  <si>
    <t>Franck Laidet et Celine Gautier</t>
  </si>
  <si>
    <t>02 40 42 33 10</t>
  </si>
  <si>
    <t>Le Comptoir des Vins</t>
  </si>
  <si>
    <t>Luçon</t>
  </si>
  <si>
    <t>lachataigneraie@lecomptoirdesvins-vd.fr</t>
  </si>
  <si>
    <t>02 51 69 63 54</t>
  </si>
  <si>
    <t>Ferveur</t>
  </si>
  <si>
    <t>Aurélien</t>
  </si>
  <si>
    <t>Aurélien, Ludovic, Julien</t>
  </si>
  <si>
    <t>Saint-Sébastien-Sur-Loire</t>
  </si>
  <si>
    <t>La Cave</t>
  </si>
  <si>
    <t>ferveur.restaurant@gmail.com</t>
  </si>
  <si>
    <t>sarlcap2020@gmail.com</t>
  </si>
  <si>
    <t>+33 2 97 48 38 61</t>
  </si>
  <si>
    <t>Pierre Julien Clement Pelletier</t>
  </si>
  <si>
    <t>La Cave des Embruns</t>
  </si>
  <si>
    <t>contact@lacavedesembruns.com</t>
  </si>
  <si>
    <t>+33 9 86 60 64 89</t>
  </si>
  <si>
    <t>Lucie Emilie Adeline Martin &amp; David Christian Robert</t>
  </si>
  <si>
    <t>La part des anges</t>
  </si>
  <si>
    <t>lapartdesangesvannes@gmail.com</t>
  </si>
  <si>
    <t>+33 6 95 67 39 19</t>
  </si>
  <si>
    <t>https://www.ferveur-restaurant.fr/</t>
  </si>
  <si>
    <t>Angélique Lisa Angèle Chantal De Lorgeril (Cartron) &amp; Xavier Louis Thi</t>
  </si>
  <si>
    <t>Au Nom du Vin Arradon</t>
  </si>
  <si>
    <t>Arradon</t>
  </si>
  <si>
    <t>56610</t>
  </si>
  <si>
    <t>aunomduvin3@wanadoo.fr</t>
  </si>
  <si>
    <t>L'Ampélographe</t>
  </si>
  <si>
    <t>Auray</t>
  </si>
  <si>
    <t>56400</t>
  </si>
  <si>
    <t>michael.nauleau@gmail.com</t>
  </si>
  <si>
    <t>+33 2 97 14 47 43</t>
  </si>
  <si>
    <t>Michael et Vincent et Nicolas</t>
  </si>
  <si>
    <t>Michael Christian Jean-Pierre Francois Nauleau &amp; Nicolas Francois Remi</t>
  </si>
  <si>
    <t>Le Comptoir Florentin</t>
  </si>
  <si>
    <t>Carnac</t>
  </si>
  <si>
    <t>56340</t>
  </si>
  <si>
    <t>jean-christophe.tabard0694@orange.fr</t>
  </si>
  <si>
    <t>Mr Tabard</t>
  </si>
  <si>
    <t>Le vin et vous caviste autrement</t>
  </si>
  <si>
    <t>yoanlefeuvre@gmail.com</t>
  </si>
  <si>
    <t>06 12 30 10 41</t>
  </si>
  <si>
    <t>Au Fil du Fromage</t>
  </si>
  <si>
    <t>Guidel</t>
  </si>
  <si>
    <t>56520</t>
  </si>
  <si>
    <t>bonsfromages@gmail.com</t>
  </si>
  <si>
    <t>Cave et Délices</t>
  </si>
  <si>
    <t>buhot-ac@voila.fr</t>
  </si>
  <si>
    <t>Pas de moyen de déplacement</t>
  </si>
  <si>
    <t>Claire Habchi</t>
  </si>
  <si>
    <t>FERVEUR</t>
  </si>
  <si>
    <t>La Cave de Malory</t>
  </si>
  <si>
    <t>Josselin</t>
  </si>
  <si>
    <t>56120</t>
  </si>
  <si>
    <t>lacavedemalory@gmail.com</t>
  </si>
  <si>
    <t>Pas le temps</t>
  </si>
  <si>
    <t>non car vend trop peu de vin</t>
  </si>
  <si>
    <t>Le Bock</t>
  </si>
  <si>
    <t>Lanester</t>
  </si>
  <si>
    <t>56600</t>
  </si>
  <si>
    <t>fanch.le.bock@gmail.com</t>
  </si>
  <si>
    <t>Fanch</t>
  </si>
  <si>
    <t>L'Atlantide 1874 - Maison Guého</t>
  </si>
  <si>
    <t>Cave de Bellevue</t>
  </si>
  <si>
    <t>Larmor-Plage</t>
  </si>
  <si>
    <t>56260</t>
  </si>
  <si>
    <t>cave-de-bellevue-caudan@orange.fr</t>
  </si>
  <si>
    <t>restaurant@atlantide1874.fr</t>
  </si>
  <si>
    <t>La Cave de Fouquet</t>
  </si>
  <si>
    <t>02 40 73 23 23</t>
  </si>
  <si>
    <t>Le Palais (Belle-Île-en-Mer)</t>
  </si>
  <si>
    <t>56360</t>
  </si>
  <si>
    <t>vinsmillelieux@gmail.com</t>
  </si>
  <si>
    <t>1 étoile Michelin (25 ans) + Gault Millau + Les Tables de Nantes</t>
  </si>
  <si>
    <t>pas de numéro ?fermé?</t>
  </si>
  <si>
    <t>Bacchuseum</t>
  </si>
  <si>
    <t>Lorient</t>
  </si>
  <si>
    <t>56100</t>
  </si>
  <si>
    <t>direction@bacchuseum.bzh</t>
  </si>
  <si>
    <t>Recherche manuelle (demande explicite de Philippe), email vérifié</t>
  </si>
  <si>
    <t>tel:0297833931</t>
  </si>
  <si>
    <t>LA CITADELLE</t>
  </si>
  <si>
    <t>Carnet de Vins</t>
  </si>
  <si>
    <t>contact@carnetdevins.fr</t>
  </si>
  <si>
    <t>contact@lacitadelle-restaurant.fr</t>
  </si>
  <si>
    <t>Veut voir la liste mais pas sur</t>
  </si>
  <si>
    <t>02 40 28 97 40</t>
  </si>
  <si>
    <t>La Cave des Vignerons</t>
  </si>
  <si>
    <t>contact@la-cave-des-vignerons.fr</t>
  </si>
  <si>
    <t>02 97 37 37 20</t>
  </si>
  <si>
    <t>Jean-Baptiste Guédès (ex-sommelier restaurant étoilé)</t>
  </si>
  <si>
    <t>Pas dispo</t>
  </si>
  <si>
    <t>Maxime Jacques Michel Leloup</t>
  </si>
  <si>
    <t>MAYPA</t>
  </si>
  <si>
    <t>Vinigusto</t>
  </si>
  <si>
    <t>Restaurant gastronomique - cuisine raffinée</t>
  </si>
  <si>
    <t>herve.lepront@gmail.com</t>
  </si>
  <si>
    <t>non car vien de reprendre et ne souhaite pas dévellopée sa carte</t>
  </si>
  <si>
    <t>Hervé Lepront</t>
  </si>
  <si>
    <t>La Tête de l'Art</t>
  </si>
  <si>
    <t>Le Goût du Vin</t>
  </si>
  <si>
    <t>Plescop</t>
  </si>
  <si>
    <t>56890</t>
  </si>
  <si>
    <t>restauranttetedelart@gmail.com</t>
  </si>
  <si>
    <t>contact@legoutduvin56.fr</t>
  </si>
  <si>
    <t xml:space="preserve">02 97 61 34 24 </t>
  </si>
  <si>
    <t>02 40 88 53 40</t>
  </si>
  <si>
    <t>Aurele</t>
  </si>
  <si>
    <t>Aude Dalizon</t>
  </si>
  <si>
    <t>LA TETE DE L'ART (KER HOME) (à vérifier)</t>
  </si>
  <si>
    <t>Le Hangar Par Morgane</t>
  </si>
  <si>
    <t>Ploërmel</t>
  </si>
  <si>
    <t>56800</t>
  </si>
  <si>
    <t>Gault Millau,Guide du Routard Pays de la Loire,Le petit futé,Pudlowski</t>
  </si>
  <si>
    <t>lehangarparmorgane@gmail.com</t>
  </si>
  <si>
    <t>Les Bouteilles de Clem</t>
  </si>
  <si>
    <t>Le Chalet</t>
  </si>
  <si>
    <t>contact@lesbouteillesdeclem.fr</t>
  </si>
  <si>
    <t>Clement</t>
  </si>
  <si>
    <t>Vallons-De-L'Erdre</t>
  </si>
  <si>
    <t>Aux Vins des Dames</t>
  </si>
  <si>
    <t>Pluméliau-Bieuzy</t>
  </si>
  <si>
    <t>56930</t>
  </si>
  <si>
    <t>restaurantlechalet@aol.fr</t>
  </si>
  <si>
    <t>auxvinsdesdames@gmail.com</t>
  </si>
  <si>
    <t xml:space="preserve">  </t>
  </si>
  <si>
    <t>Anne-Marie</t>
  </si>
  <si>
    <t>02 40 97 06 48</t>
  </si>
  <si>
    <t xml:space="preserve">Salarié en congé mais viendra peut etre envoyer liste </t>
  </si>
  <si>
    <t>Fromages de Nos Terroirs</t>
  </si>
  <si>
    <t>Le petit futé,Le Routard Hôtels et Restos de France | email partagé avec: Traiteur - Le Chalet</t>
  </si>
  <si>
    <t>Pontivy</t>
  </si>
  <si>
    <t>56300</t>
  </si>
  <si>
    <t>fromages.terroirs@free.fr</t>
  </si>
  <si>
    <t>Le Jardin des Gourmands</t>
  </si>
  <si>
    <t>tel:0297380988</t>
  </si>
  <si>
    <t>Pas interresé</t>
  </si>
  <si>
    <t>Herbignac</t>
  </si>
  <si>
    <t>KAV Raisin</t>
  </si>
  <si>
    <t>lejardindesgourmands44410@gmail.com</t>
  </si>
  <si>
    <t>06 06 76 56 70</t>
  </si>
  <si>
    <t>kavraisin@gmail.com</t>
  </si>
  <si>
    <t>06 68 07 23 98</t>
  </si>
  <si>
    <t>Alexandre Bellard</t>
  </si>
  <si>
    <t>LES JARDINS GOURMANDS (à vérifier)</t>
  </si>
  <si>
    <t>Lundi jour de repos</t>
  </si>
  <si>
    <t>Cave de Rhuys</t>
  </si>
  <si>
    <t>Saint-Gildas-de-Rhuys</t>
  </si>
  <si>
    <t>56730</t>
  </si>
  <si>
    <t>Le Manoir de la Régate</t>
  </si>
  <si>
    <t>cavederhuys@gmail.com</t>
  </si>
  <si>
    <t>tel:0297546088</t>
  </si>
  <si>
    <t>theotournadre24@gmail.com</t>
  </si>
  <si>
    <t>Rappeller le 1er octobre a Midi pour aavoir responsable sur le vin, finalement pas interéssé</t>
  </si>
  <si>
    <t>02 40 18 02 97</t>
  </si>
  <si>
    <t>La Cave Fromagère</t>
  </si>
  <si>
    <t>Sarzeau</t>
  </si>
  <si>
    <t>56370</t>
  </si>
  <si>
    <t>1 étoile Michelin + étoile verte Michelin</t>
  </si>
  <si>
    <t>contact@baudart-lheritier.com</t>
  </si>
  <si>
    <t>tel:0297417905</t>
  </si>
  <si>
    <t>LE PELICAN</t>
  </si>
  <si>
    <t>Geneston</t>
  </si>
  <si>
    <t>Ty Kav</t>
  </si>
  <si>
    <t>Séné</t>
  </si>
  <si>
    <t>56860</t>
  </si>
  <si>
    <t>contact@restaurantlepelican.fr</t>
  </si>
  <si>
    <t>tykavouest@gmail.com</t>
  </si>
  <si>
    <t>02 90 73 25 88</t>
  </si>
  <si>
    <t>02 40 04 77 88</t>
  </si>
  <si>
    <t>Chrom</t>
  </si>
  <si>
    <t>Trop juste dans les délai</t>
  </si>
  <si>
    <t>RESTAURANT LE PELICAN</t>
  </si>
  <si>
    <t>Bottin Gourmand,Gault Millau,Le petit futé,Les Tables de Nantes,Michelin</t>
  </si>
  <si>
    <t>La Cave du Landy</t>
  </si>
  <si>
    <t>LE SABAYON</t>
  </si>
  <si>
    <t>56450</t>
  </si>
  <si>
    <t>cavedulandy@orange.fr</t>
  </si>
  <si>
    <t>Florient</t>
  </si>
  <si>
    <t>touzeau.landry@orange.fr</t>
  </si>
  <si>
    <t>02 40 01 88 21</t>
  </si>
  <si>
    <t>Au Nom du Vin</t>
  </si>
  <si>
    <t>56000</t>
  </si>
  <si>
    <t>Le petit futé,Le Routard Hôtels et Restos de France,Michelin</t>
  </si>
  <si>
    <t>davidmaincent@orange.fr</t>
  </si>
  <si>
    <t>Breizh Prim'</t>
  </si>
  <si>
    <t>LuluRouget</t>
  </si>
  <si>
    <t>breizhprim56@gmail.com</t>
  </si>
  <si>
    <t>tel:0674011945</t>
  </si>
  <si>
    <t>Trop loin</t>
  </si>
  <si>
    <t>contact@lulurouget.fr</t>
  </si>
  <si>
    <t>02 40 47 47 98</t>
  </si>
  <si>
    <t>Chez Fred</t>
  </si>
  <si>
    <t>1 étoile Michelin (Ludovic Pouzelgues)</t>
  </si>
  <si>
    <t>fredbruneau1@hotmail.com</t>
  </si>
  <si>
    <t>Vérifié directement (site officiel + Guide Michelin)</t>
  </si>
  <si>
    <t>tel:0633346235</t>
  </si>
  <si>
    <t>Restaurant Hall Saint Lazare</t>
  </si>
  <si>
    <t>Fred Bruneau</t>
  </si>
  <si>
    <t>Raccrocher</t>
  </si>
  <si>
    <t>L'Antidote</t>
  </si>
  <si>
    <t>hello@hall-st-lazare.fr</t>
  </si>
  <si>
    <t>02 40 69 14 62</t>
  </si>
  <si>
    <t>lantidote.vannes@gmail.com</t>
  </si>
  <si>
    <t>tel:0971740065</t>
  </si>
  <si>
    <t>Interéssé mail envoyé</t>
  </si>
  <si>
    <t>RESTAURANT LE 1201- ABBAYE DE VILLENEUVE</t>
  </si>
  <si>
    <t>La Cave de Jean-Yves</t>
  </si>
  <si>
    <t>Les Sorinieres</t>
  </si>
  <si>
    <t>welcome@abbayedevilleneuve.com</t>
  </si>
  <si>
    <t>contact@cjy.fr</t>
  </si>
  <si>
    <t>02 55 59 05 91</t>
  </si>
  <si>
    <t>Jean-Yves</t>
  </si>
  <si>
    <t>Pas de numéro de téléphone*?</t>
  </si>
  <si>
    <t>Le Jeu de Quilles</t>
  </si>
  <si>
    <t>RESTAURANT TOPAZE</t>
  </si>
  <si>
    <t>lejeudequilles@looping.org</t>
  </si>
  <si>
    <t>Marc</t>
  </si>
  <si>
    <t>restaurant-topaze@outlook.fr</t>
  </si>
  <si>
    <t xml:space="preserve">ENvoyer liste </t>
  </si>
  <si>
    <t>02 51 75 69 36</t>
  </si>
  <si>
    <t>leschaissaintfrancois@wanadoo.fr</t>
  </si>
  <si>
    <t>Michelin,Pudlowski</t>
  </si>
  <si>
    <t>02 97 47 48 93</t>
  </si>
  <si>
    <t>Tulli</t>
  </si>
  <si>
    <t>Occupé à cette date</t>
  </si>
  <si>
    <t>contact@tullirestaurant.fr</t>
  </si>
  <si>
    <t>Pauline Mélissa Anais Delaunay &amp; Karim Tulli</t>
  </si>
  <si>
    <t>MAISON TULLI-DELAUNAY</t>
  </si>
  <si>
    <t>vannes@papillesetpapillotes.com</t>
  </si>
  <si>
    <t>02 97 62 47 06</t>
  </si>
  <si>
    <t>Ancestral</t>
  </si>
  <si>
    <t>PONCET Jean-Dominique</t>
  </si>
  <si>
    <t>Étel</t>
  </si>
  <si>
    <t>56410</t>
  </si>
  <si>
    <t>contact@restaurant-ancestral.fr</t>
  </si>
  <si>
    <t>jd.poncet@font-vidal.com</t>
  </si>
  <si>
    <t>02 41 86 87 88</t>
  </si>
  <si>
    <t>Kévin Laurent Bougard</t>
  </si>
  <si>
    <t>02 97 55 25 59</t>
  </si>
  <si>
    <t>ANCESTRAL</t>
  </si>
  <si>
    <t>Message laisser sur messagerie</t>
  </si>
  <si>
    <t>Autour d'un Cep</t>
  </si>
  <si>
    <t xml:space="preserve">wam cave </t>
  </si>
  <si>
    <t>Arzal</t>
  </si>
  <si>
    <t>autourduncep@gmail.com</t>
  </si>
  <si>
    <t>02 41 42 61 00</t>
  </si>
  <si>
    <t>wamcave@gmail.com</t>
  </si>
  <si>
    <t>Thony Pohu</t>
  </si>
  <si>
    <t>POHUTUKAWA (à vérifier)</t>
  </si>
  <si>
    <t>Brice et Caroline</t>
  </si>
  <si>
    <t>les chais du loc'h</t>
  </si>
  <si>
    <t>A adresser à Etienne</t>
  </si>
  <si>
    <t>Grand-champ</t>
  </si>
  <si>
    <t>Belle Rive</t>
  </si>
  <si>
    <t>leschais.du.loch@orange.fr</t>
  </si>
  <si>
    <t>Mr Le Bouquin</t>
  </si>
  <si>
    <t>restaurant-bellerive@orange.fr</t>
  </si>
  <si>
    <t>la cave du vincin</t>
  </si>
  <si>
    <r>
      <rPr>
        <rFont val="Arial"/>
        <color rgb="FF1155CC"/>
        <sz val="10.0"/>
        <u/>
      </rPr>
      <t>vincentbriend.vb@gmail.com</t>
    </r>
  </si>
  <si>
    <t>Dominique Desire Bellemare &amp; Gilles Jean-Pierre Courtois</t>
  </si>
  <si>
    <t>CENTRE DE CONSEIL ET DE SERVICE -CCS (à vérifier)</t>
  </si>
  <si>
    <t>Chez Lory</t>
  </si>
  <si>
    <t>La roche Bernard</t>
  </si>
  <si>
    <t>Fricot</t>
  </si>
  <si>
    <r>
      <rPr>
        <rFont val="Arial"/>
        <color rgb="FF1155CC"/>
        <sz val="10.0"/>
        <u/>
      </rPr>
      <t>aupuitslory@gmail.com</t>
    </r>
  </si>
  <si>
    <t>fricot.restaurant@gmail.com</t>
  </si>
  <si>
    <t>02 41 69 16 66</t>
  </si>
  <si>
    <t>Louisa Bellanger &amp; Margot Nicolas</t>
  </si>
  <si>
    <t>MARLOU (FRICOT)</t>
  </si>
  <si>
    <t>Kazumi</t>
  </si>
  <si>
    <t>hatakenakakazumi@gmail.com</t>
  </si>
  <si>
    <t>02 53 57 21 42</t>
  </si>
  <si>
    <t>Kazumi Hatakenaka (Hatakenaka)</t>
  </si>
  <si>
    <t>DHC (KAZUMI)</t>
  </si>
  <si>
    <t>La Grange</t>
  </si>
  <si>
    <t>lagrange-cholet@orange.fr</t>
  </si>
  <si>
    <t>02 41 62 09 83</t>
  </si>
  <si>
    <t>Philippe Granger</t>
  </si>
  <si>
    <t>PHILIPPE GRANGER</t>
  </si>
  <si>
    <t>Bottin Gourmand,Champerard,Gault Millau,Michelin</t>
  </si>
  <si>
    <t>La table de Clément Paillard</t>
  </si>
  <si>
    <t>contact@clementpaillard.fr</t>
  </si>
  <si>
    <t>02 41 60 05 09</t>
  </si>
  <si>
    <t>Clément Cyril Flavien Paillard</t>
  </si>
  <si>
    <t>CLEMENT PAILLARD</t>
  </si>
  <si>
    <t>Le Relais</t>
  </si>
  <si>
    <t>bienvenue.lerelais@gmail.com</t>
  </si>
  <si>
    <t>https://lerelais-angers.fr/</t>
  </si>
  <si>
    <t>Tiffanie Anne Marie Foucault (Gaunard) &amp; Deloitte &amp; Associes</t>
  </si>
  <si>
    <t>RELAIS FNAC (à vérifier)</t>
  </si>
  <si>
    <t>french</t>
  </si>
  <si>
    <t>Bruno et Valérie</t>
  </si>
  <si>
    <t>Le Sourire</t>
  </si>
  <si>
    <t>fromavin</t>
  </si>
  <si>
    <t>lesourire.angers@gmail.com</t>
  </si>
  <si>
    <t>09 81 39 76 50</t>
  </si>
  <si>
    <t>Yuma Nishioka</t>
  </si>
  <si>
    <r>
      <rPr>
        <rFont val="Arial"/>
        <color rgb="FF1155CC"/>
        <sz val="10.0"/>
        <u/>
      </rPr>
      <t>bonjour@fromavin.bzh</t>
    </r>
  </si>
  <si>
    <t>LE SOURIRE</t>
  </si>
  <si>
    <t>Gregory</t>
  </si>
  <si>
    <t xml:space="preserve">bcp de changement dans l'équipe donc pas cette année </t>
  </si>
  <si>
    <t>Pur jus</t>
  </si>
  <si>
    <t>larmor-Plage</t>
  </si>
  <si>
    <t>Lueurs</t>
  </si>
  <si>
    <t>Bouchemaine</t>
  </si>
  <si>
    <r>
      <rPr>
        <rFont val="Arial"/>
        <color rgb="FF1155CC"/>
        <sz val="10.0"/>
        <u/>
      </rPr>
      <t>contact@beaucarnea.io</t>
    </r>
  </si>
  <si>
    <t>lueurs.contact@gmail.com</t>
  </si>
  <si>
    <t>02 41 77 23 00</t>
  </si>
  <si>
    <t>Arthur Victor Marie Creze &amp; Romain Carlos André Zarazaga</t>
  </si>
  <si>
    <t>LUEURS PETIT SERRANT</t>
  </si>
  <si>
    <t>Masama Restaurant</t>
  </si>
  <si>
    <t>restaurantmasama@gmail.com</t>
  </si>
  <si>
    <t>02 53 93 95 82</t>
  </si>
  <si>
    <t>Patachée</t>
  </si>
  <si>
    <t>Avrille</t>
  </si>
  <si>
    <t>restaurant.patachee@gmail.com</t>
  </si>
  <si>
    <t>02 41 88 11 70</t>
  </si>
  <si>
    <t>Leny Roger Alfred Mesnage &amp; Clement Philippe Ernest Veillon</t>
  </si>
  <si>
    <t>KIRIKIKI (PATACHEE)</t>
  </si>
  <si>
    <t>Tegwe</t>
  </si>
  <si>
    <t xml:space="preserve">reste avec sa carte </t>
  </si>
  <si>
    <t>Restaurant Fontevraud L'Ermitage</t>
  </si>
  <si>
    <t>les vignes d'or</t>
  </si>
  <si>
    <t>hotel@fontevraud.fr</t>
  </si>
  <si>
    <r>
      <rPr>
        <rFont val="Arial"/>
        <color rgb="FF1155CC"/>
        <sz val="10.0"/>
        <u/>
      </rPr>
      <t>vignesdor.lorient@gmail.com</t>
    </r>
  </si>
  <si>
    <t>02 46 46 10 10</t>
  </si>
  <si>
    <t>Étoile Verte Michelin,Gault Millau,Le petit futé,Michelin</t>
  </si>
  <si>
    <t>pas de personnel pour le vin jusqu'a fin octobre</t>
  </si>
  <si>
    <t>Restaurant L'Essentiel</t>
  </si>
  <si>
    <t>contact@restaurant-lessentiel-saumur.fr</t>
  </si>
  <si>
    <t>02 41 67 71 10</t>
  </si>
  <si>
    <t>Restaurant La Passerelle</t>
  </si>
  <si>
    <t>Sevremoine</t>
  </si>
  <si>
    <t>contact@restaurant-lapasserelle.fr</t>
  </si>
  <si>
    <t>02 41 30 90 57</t>
  </si>
  <si>
    <t>Amandine et Stéphane</t>
  </si>
  <si>
    <t>pas présent mais envoyer catalogue</t>
  </si>
  <si>
    <t>Benoit et Matthieu</t>
  </si>
  <si>
    <t>Restaurant Le Cellier</t>
  </si>
  <si>
    <t>la forge aux vins</t>
  </si>
  <si>
    <t>Malestroit</t>
  </si>
  <si>
    <t>restaurant.lecellier49@gmail.com</t>
  </si>
  <si>
    <t>02 41 40 96 20</t>
  </si>
  <si>
    <r>
      <rPr>
        <rFont val="Arial"/>
        <color rgb="FF1155CC"/>
        <sz val="10.0"/>
        <u/>
      </rPr>
      <t>laforgeauxvins@orange.fr</t>
    </r>
  </si>
  <si>
    <t>moitié direct moitié metro</t>
  </si>
  <si>
    <t>Restaurant Le Moulin de l'Epinay</t>
  </si>
  <si>
    <t>contact@restomoulinepinay.com</t>
  </si>
  <si>
    <t>02 41 72 70 70</t>
  </si>
  <si>
    <t>Bottin Gourmand,Gault Millau,Guide du Routard Pays de la Loire,Le Routard Hôtels et Restos de France,Michelin</t>
  </si>
  <si>
    <t>intérréssé par salon mais pas disponible</t>
  </si>
  <si>
    <t>Restaurant Ververt</t>
  </si>
  <si>
    <t>Montsoreau</t>
  </si>
  <si>
    <t>contactververt@gmail.com</t>
  </si>
  <si>
    <t>02 41 52 34 89</t>
  </si>
  <si>
    <t>Sens</t>
  </si>
  <si>
    <t>cave de kervault</t>
  </si>
  <si>
    <t>QUestemberg</t>
  </si>
  <si>
    <t>contact@restaurant-sens.com</t>
  </si>
  <si>
    <t>02 41 05 12 28</t>
  </si>
  <si>
    <t>Nicolas Adamopulos</t>
  </si>
  <si>
    <r>
      <rPr>
        <rFont val="Arial"/>
        <color rgb="FF1155CC"/>
        <sz val="10.0"/>
        <u/>
      </rPr>
      <t>vincent@cavedekervault.fr</t>
    </r>
  </si>
  <si>
    <t>SENS (SENS)</t>
  </si>
  <si>
    <t>Sol e Luna</t>
  </si>
  <si>
    <t>stchupin@wanadoo.fr</t>
  </si>
  <si>
    <t>https://www.sol-e-luna.fr/</t>
  </si>
  <si>
    <t>la cave à ju</t>
  </si>
  <si>
    <t>Locminé</t>
  </si>
  <si>
    <r>
      <rPr>
        <rFont val="Arial"/>
        <color rgb="FF1155CC"/>
        <sz val="10.0"/>
        <u/>
      </rPr>
      <t>lacaveaju@outlook.com</t>
    </r>
  </si>
  <si>
    <t>Parfum D'Epice</t>
  </si>
  <si>
    <t>SOL E LUNA (LA RUE SAUVAGE)</t>
  </si>
  <si>
    <t>french;caribbean | email partagé avec: Sol é Luna</t>
  </si>
  <si>
    <t>Ar Iniz</t>
  </si>
  <si>
    <t>JP à votre Service</t>
  </si>
  <si>
    <t>Saint Caradec</t>
  </si>
  <si>
    <t>22600 Côte d'Armor</t>
  </si>
  <si>
    <t>jpcave@orange.fr</t>
  </si>
  <si>
    <t>06 50 04 81 34</t>
  </si>
  <si>
    <t>contact@ariniz.com</t>
  </si>
  <si>
    <t>02 99 56 01 19</t>
  </si>
  <si>
    <t>Jean Pierre Lemoins</t>
  </si>
  <si>
    <t>SAS Les Acacias</t>
  </si>
  <si>
    <t>Gault&amp;Millau, Guide Michelin</t>
  </si>
  <si>
    <t>Vérifié directement (mentions légales ariniz.com)</t>
  </si>
  <si>
    <t>Auberge du Pont d'Acigné</t>
  </si>
  <si>
    <t>Noyal-sur-Vilaine</t>
  </si>
  <si>
    <t>contact@pontdacigne.fr</t>
  </si>
  <si>
    <t>02 99 62 52 55</t>
  </si>
  <si>
    <t>1 étoile Michelin + Gault&amp;Millau 15.5/20 + Google 4.8/360</t>
  </si>
  <si>
    <t>Sélection Michelin / Bib Gourmand / Gault&amp;Millau 2026 (recherche manuelle)</t>
  </si>
  <si>
    <t>Bombance</t>
  </si>
  <si>
    <t>bombance.restaurant@gmail.com</t>
  </si>
  <si>
    <t>07 78 52 39 94</t>
  </si>
  <si>
    <t>Bib Gourmand + Gault&amp;Millau 12.5/20</t>
  </si>
  <si>
    <t>Estime</t>
  </si>
  <si>
    <t>restaurant.estime@gmail.com</t>
  </si>
  <si>
    <t>02 22 66 90 42</t>
  </si>
  <si>
    <t>Bib Gourmand Michelin</t>
  </si>
  <si>
    <t>Fezi</t>
  </si>
  <si>
    <t>contact@fezi-restaurant.fr</t>
  </si>
  <si>
    <t>02 99 36 69 51</t>
  </si>
  <si>
    <t>Bib Gourmand + Gault&amp;Millau</t>
  </si>
  <si>
    <t>Ima</t>
  </si>
  <si>
    <t>contact@ima.restaurant</t>
  </si>
  <si>
    <t>02 23 47 82 74</t>
  </si>
  <si>
    <t>1 étoile Michelin</t>
  </si>
  <si>
    <t>La Table des Pères</t>
  </si>
  <si>
    <t>Piré-Chancé</t>
  </si>
  <si>
    <t>latabledesperes@chateaudesperes.fr</t>
  </si>
  <si>
    <t>02 23 08 40 80</t>
  </si>
  <si>
    <t>1 étoile Michelin (2023)</t>
  </si>
  <si>
    <t>Le Coquillage (Maisons de Bricourt)</t>
  </si>
  <si>
    <t>Saint-Méloir-des-Ondes</t>
  </si>
  <si>
    <t>info@maisons-de-bricourt.com</t>
  </si>
  <si>
    <t>02 99 89 64 76</t>
  </si>
  <si>
    <t>3 étoiles Michelin + étoile verte</t>
  </si>
  <si>
    <t>Le Paris-Brest (Christian Le Squer)</t>
  </si>
  <si>
    <t>contact@le-parisbrest.com</t>
  </si>
  <si>
    <t>02 99 53 59 89</t>
  </si>
  <si>
    <t>Table de Chef (Christian Le Squer, sommellerie Eric Beaumard), Gault&amp;Millau</t>
  </si>
  <si>
    <t>Vérifié directement (parisbrest.bzh, email corrigé — Deep Research proposait reservations@)</t>
  </si>
  <si>
    <t>Le Pourquoi Pas (Castelbrac)</t>
  </si>
  <si>
    <t>reception@castelbrac.com</t>
  </si>
  <si>
    <t>02 99 80 30 00</t>
  </si>
  <si>
    <t>1 étoile Michelin, Gault&amp;Millau</t>
  </si>
  <si>
    <t>Deep Research, email vérifié par recoupement (castelbrac.com)</t>
  </si>
  <si>
    <t>Le Relais de la Rance</t>
  </si>
  <si>
    <t>Quédillac</t>
  </si>
  <si>
    <t>lerelaisdelarance35@gmail.com</t>
  </si>
  <si>
    <t>02 99 06 90 70</t>
  </si>
  <si>
    <t>Bib Gourmand Michelin 2026</t>
  </si>
  <si>
    <t>Maison Ronan Kervarrec (Le Saison)</t>
  </si>
  <si>
    <t>contact@le-saison.com</t>
  </si>
  <si>
    <t>02 99 68 79 35</t>
  </si>
  <si>
    <t>Étoilé Michelin</t>
  </si>
  <si>
    <t>Récolte</t>
  </si>
  <si>
    <t>Bruz</t>
  </si>
  <si>
    <t>recolte.contact@gmail.com</t>
  </si>
  <si>
    <t>02 99 01 96 59</t>
  </si>
  <si>
    <t>Bib Gourmand + Gault&amp;Millau + Restaurant Guru 4.9/454</t>
  </si>
  <si>
    <t xml:space="preserve">que du vin nature </t>
  </si>
  <si>
    <t>L'Antiquaire</t>
  </si>
  <si>
    <t>contact@restaurant-lantiquaire.fr</t>
  </si>
  <si>
    <t>02 43 53 66 76</t>
  </si>
  <si>
    <t>Guide Michelin, Bottin Gourmand</t>
  </si>
  <si>
    <t>Vérifié directement (mentions légales restaurant-lantiquaire.fr)</t>
  </si>
  <si>
    <t>Le Grand Hôtel</t>
  </si>
  <si>
    <t>contact@grandhotelmayenne.com</t>
  </si>
  <si>
    <t>02 43 00 96 00</t>
  </si>
  <si>
    <t>Maître Restaurateur, référencé Les Tables de la Mayenne</t>
  </si>
  <si>
    <t>Les Tables de la Mayenne / Logis de France (recherche manuelle, email vérifié sur site officiel)</t>
  </si>
  <si>
    <t>RESTAURANT LA FORGE</t>
  </si>
  <si>
    <t>Saint-Georges-Buttavent</t>
  </si>
  <si>
    <t>contact@laforge.restaurant</t>
  </si>
  <si>
    <t>02 43 00 34 85</t>
  </si>
  <si>
    <t>Gault Millau,Guide du Routard Pays de la Loire,Le Routard Hôtels et Restos de France,Michelin</t>
  </si>
  <si>
    <t>Restaurant Le Salvert</t>
  </si>
  <si>
    <t>Le Genest-Saint-Isle</t>
  </si>
  <si>
    <t>restaurant-le-salvert@wanadoo.fr</t>
  </si>
  <si>
    <t>02.43.37.14.37</t>
  </si>
  <si>
    <t>Marie-Laure Philouze (Walter)</t>
  </si>
  <si>
    <t>MARIE-LAURE PHILOUZE (WALTER)</t>
  </si>
  <si>
    <t>Alice le bistrot (Manoir de la Mortière)</t>
  </si>
  <si>
    <t>alicelebistrot@lemanoirdelamortiere.com</t>
  </si>
  <si>
    <t>02 51 23 17 91</t>
  </si>
  <si>
    <t>Bib Gourmand 2026</t>
  </si>
  <si>
    <t>L'Abissiou</t>
  </si>
  <si>
    <t>contact@labissiou.fr</t>
  </si>
  <si>
    <t>09 86 36 42 29</t>
  </si>
  <si>
    <t>La Chabotterie</t>
  </si>
  <si>
    <t>Montréverd</t>
  </si>
  <si>
    <t>contact@lachabotterie.com</t>
  </si>
  <si>
    <t>02 55 90 02 85</t>
  </si>
  <si>
    <t>La Marine (Alexandre Couillon)</t>
  </si>
  <si>
    <t>Noirmoutier-en-l'Île</t>
  </si>
  <si>
    <t>contact@alexandrecouillon.com</t>
  </si>
  <si>
    <t>02 51 39 23 09</t>
  </si>
  <si>
    <t>La Robe</t>
  </si>
  <si>
    <t>Montaigu-Vendée</t>
  </si>
  <si>
    <t>contact@restaurant-la-robe.com</t>
  </si>
  <si>
    <t>02 51 47 79 27</t>
  </si>
  <si>
    <t>Étoilé Michelin + Tripadvisor 4.6/520</t>
  </si>
  <si>
    <t>Le Sloop</t>
  </si>
  <si>
    <t>info@atlantichotel.fr</t>
  </si>
  <si>
    <t>02 51 95 37 71</t>
  </si>
  <si>
    <t>Maître Restaurateur, 9.2/10 TheFork</t>
  </si>
  <si>
    <t>Reclassé depuis onglet Restaurants (Gault&amp;Millau, confirmé Deep Research)</t>
  </si>
  <si>
    <t>Les Voyageurs</t>
  </si>
  <si>
    <t>contact@lesvoyageurs-saintgillescroixdevie.fr</t>
  </si>
  <si>
    <t>02 28 10 54 00</t>
  </si>
  <si>
    <t>Maison Brume</t>
  </si>
  <si>
    <t>La Chaize-Giraud</t>
  </si>
  <si>
    <t>maisonbrume@outlook.com</t>
  </si>
  <si>
    <t>02 51 22 75 33</t>
  </si>
  <si>
    <t>Bib Gourmand + Tripadvisor 4.9</t>
  </si>
  <si>
    <t>Maison Desamy</t>
  </si>
  <si>
    <t>Mareuil-sur-Lay-Dissais</t>
  </si>
  <si>
    <t>contact@restaurant-maisondesamy.com</t>
  </si>
  <si>
    <t>Prénom</t>
  </si>
  <si>
    <t>02 51 52 69 43</t>
  </si>
  <si>
    <t xml:space="preserve">en vacances en octobre </t>
  </si>
  <si>
    <t>La Table du Pêcheur</t>
  </si>
  <si>
    <t>Avel Vor</t>
  </si>
  <si>
    <t>Port-Louis</t>
  </si>
  <si>
    <t>contact@avelvor.com</t>
  </si>
  <si>
    <t>02 97 82 47 59</t>
  </si>
  <si>
    <t>contact@latabledupecheur.com</t>
  </si>
  <si>
    <t>02 40 83 11 36</t>
  </si>
  <si>
    <t>Côté Cuisine (Hôtel Lann Roz)</t>
  </si>
  <si>
    <t>Christophe Michel Raymond Audrain &amp; Jean-Marie Bernard Maurice Pelleri</t>
  </si>
  <si>
    <t>cotecuisine@lannroz.fr</t>
  </si>
  <si>
    <t>02 97 57 50 35</t>
  </si>
  <si>
    <t>Deja un grossiste pour le vin redirigé vers le restaurant le 7 de table (ancien mauvais client)</t>
  </si>
  <si>
    <t>1 étoile Michelin (2019)</t>
  </si>
  <si>
    <t>Iodé</t>
  </si>
  <si>
    <t>La Jaguais</t>
  </si>
  <si>
    <t>reservation.iode@gmail.com</t>
  </si>
  <si>
    <t>Campbon</t>
  </si>
  <si>
    <t>02 97 47 76 14</t>
  </si>
  <si>
    <t>44750</t>
  </si>
  <si>
    <t>Itsasoa</t>
  </si>
  <si>
    <t>restaurantlajaguais@orange.fr</t>
  </si>
  <si>
    <t>02 40 56 58 93</t>
  </si>
  <si>
    <t>contact@itsasoa.fr</t>
  </si>
  <si>
    <t>Hugues Jacques Leon Papion &amp; Marie Madeleine Paule Francoise Provost</t>
  </si>
  <si>
    <t>02 97 52 17 72</t>
  </si>
  <si>
    <t>Catalogue envoyé mais pas   nécessairement intérresé car jour de congés</t>
  </si>
  <si>
    <t>Gault Millau,Collège Culinaire de France</t>
  </si>
  <si>
    <t>Karantez</t>
  </si>
  <si>
    <t>La Table de l'Estuaire</t>
  </si>
  <si>
    <t>restaurant.karantez@outlook.fr</t>
  </si>
  <si>
    <t>02 97 64 26 54</t>
  </si>
  <si>
    <t>famaris44@gmail.com</t>
  </si>
  <si>
    <t>L'Eskell</t>
  </si>
  <si>
    <t>02 51 79 09 54</t>
  </si>
  <si>
    <t>Sandra Le Tarnec (Hemon) &amp; Bruno Dominique Marie Le Tarnec</t>
  </si>
  <si>
    <t>salleleskell@gmail.com</t>
  </si>
  <si>
    <t>Fermé définitivement</t>
  </si>
  <si>
    <t>07 67 67 73 26</t>
  </si>
  <si>
    <t>Restaurant Auberge de la Gaillotière</t>
  </si>
  <si>
    <t>44690</t>
  </si>
  <si>
    <t>La Table du Liziec (Domaine du Liziec)</t>
  </si>
  <si>
    <t>contact@auberge-la-gaillotiere.fr</t>
  </si>
  <si>
    <t>domaineduliziec@accor.com</t>
  </si>
  <si>
    <t>02 28 21 31 16</t>
  </si>
  <si>
    <t>02 22 07 50 15</t>
  </si>
  <si>
    <t>Alix Beslay</t>
  </si>
  <si>
    <t>1 étoile Michelin (2026) + Gault&amp;Millau 16/20 Or Bretagne</t>
  </si>
  <si>
    <t>Catalogue et mail envoyé , potentiellement intérresé</t>
  </si>
  <si>
    <t>La Tête en l'Air</t>
  </si>
  <si>
    <t>contact@lateteenlair-vannes.com</t>
  </si>
  <si>
    <t>02 97 67 31 13</t>
  </si>
  <si>
    <t>Le Bistrot du Port</t>
  </si>
  <si>
    <t>1 étoile Michelin (2022)</t>
  </si>
  <si>
    <t>Le Gavrinis</t>
  </si>
  <si>
    <t>Baden</t>
  </si>
  <si>
    <t>contact@gavrinis.com</t>
  </si>
  <si>
    <t>02 97 57 00 82</t>
  </si>
  <si>
    <t>Le Pressoir</t>
  </si>
  <si>
    <t>Saint-Avé</t>
  </si>
  <si>
    <t>info@le-pressoir.fr</t>
  </si>
  <si>
    <t>02 97 60 87 63</t>
  </si>
  <si>
    <t>1 étoile Michelin (2011)</t>
  </si>
  <si>
    <t>manoncaron@aoutloook.com</t>
  </si>
  <si>
    <t>Maison Tiegezh</t>
  </si>
  <si>
    <t>Guer</t>
  </si>
  <si>
    <t>02 40 75 10 88</t>
  </si>
  <si>
    <t>contact@maisontiegezh.com</t>
  </si>
  <si>
    <t>02 97 22 00 26</t>
  </si>
  <si>
    <t>Étoilé Michelin + Bib Gourmand (bistrot)</t>
  </si>
  <si>
    <t>Poussin Rouge</t>
  </si>
  <si>
    <t>Trentemoult</t>
  </si>
  <si>
    <t>lepoussinrouge.trentemoult@gmail.com</t>
  </si>
  <si>
    <t>02 40 75 66 31</t>
  </si>
  <si>
    <t>Gaeten</t>
  </si>
  <si>
    <t>Gaeten Bessonet</t>
  </si>
  <si>
    <t>La Guinguette</t>
  </si>
  <si>
    <t>contact@laguinguette.fr</t>
  </si>
  <si>
    <t>02 40 75 88 96</t>
  </si>
  <si>
    <t>Marine</t>
  </si>
  <si>
    <t>Le Kervegon</t>
  </si>
  <si>
    <t>lekervegon@gmail.com</t>
  </si>
  <si>
    <t>02 40 65 36 90</t>
  </si>
  <si>
    <t>Mr Gassmann</t>
  </si>
  <si>
    <t>Les Sorinières</t>
  </si>
  <si>
    <t>resto-lerelais@orange.fr</t>
  </si>
  <si>
    <t>02 40 80 51 91</t>
  </si>
  <si>
    <t>Les Terrasses de la Goumenie</t>
  </si>
  <si>
    <t>lesterrassesdelagourmerie@gmail.com</t>
  </si>
  <si>
    <t>02 40 63 28 86</t>
  </si>
  <si>
    <t>atlantic beach</t>
  </si>
  <si>
    <t>atlanticbeachlabaule@gmail.com</t>
  </si>
  <si>
    <t>Patricia</t>
  </si>
  <si>
    <t>Restaurant du Pont</t>
  </si>
  <si>
    <t>contact@restaurant-du-pont.fr</t>
  </si>
  <si>
    <t>02 40 03 58 62</t>
  </si>
  <si>
    <t>Mathieu Corbineau Karine Moinet</t>
  </si>
  <si>
    <t>La Pierre Percée</t>
  </si>
  <si>
    <t>Divatte-sur-Loire</t>
  </si>
  <si>
    <t>restaurantlapierrepercee@orange.fr</t>
  </si>
  <si>
    <t>02 40 31 05 20</t>
  </si>
  <si>
    <t>Cave and Co</t>
  </si>
  <si>
    <t>caveandcolaurie@gmail.com</t>
  </si>
  <si>
    <t>02 40 03 65 49</t>
  </si>
  <si>
    <t>Laurie</t>
  </si>
  <si>
    <t>Deja pris sur le salon Extra Brut</t>
  </si>
  <si>
    <t>Camélia</t>
  </si>
  <si>
    <t>bonjour@camelialabaule.fr</t>
  </si>
  <si>
    <t>02 51 16 26 75</t>
  </si>
  <si>
    <t>Laurent Bernard Pierre Chauvin &amp; Scs Finances</t>
  </si>
  <si>
    <t>La Brasserie du Royal</t>
  </si>
  <si>
    <t>reception-royallabaule@groupebarriere.com</t>
  </si>
  <si>
    <t>02 40 11 48 48</t>
  </si>
  <si>
    <t>Le Ruban Bleu</t>
  </si>
  <si>
    <t>h5692-sb@accor.com</t>
  </si>
  <si>
    <t>02 40 60 24 86</t>
  </si>
  <si>
    <t>Bocca Sunset</t>
  </si>
  <si>
    <t>44501</t>
  </si>
  <si>
    <t>cedric@boccasunset.com</t>
  </si>
  <si>
    <t>Intérresé par le catalogue notament la bourgogne et le val de loire</t>
  </si>
  <si>
    <t xml:space="preserve"> </t>
  </si>
  <si>
    <t>belie@vacancesbleues.fr</t>
  </si>
  <si>
    <t>Bruno</t>
  </si>
  <si>
    <t>Le M</t>
  </si>
  <si>
    <t>contact@mlabaule.com</t>
  </si>
  <si>
    <t>Arnaud</t>
  </si>
  <si>
    <t>l'étoile</t>
  </si>
  <si>
    <t>44502</t>
  </si>
  <si>
    <t>laplage@clubdeletoile.com</t>
  </si>
  <si>
    <t>Gulf Stream</t>
  </si>
  <si>
    <t>legulfstream@hotmail.fr</t>
  </si>
  <si>
    <t>Justine</t>
  </si>
  <si>
    <t>le tova</t>
  </si>
  <si>
    <t>letovalabaule@gmail.com</t>
  </si>
  <si>
    <t>Eva</t>
  </si>
  <si>
    <t>L'Epicerie</t>
  </si>
  <si>
    <t>ha.vinsditribution@gmail.com</t>
  </si>
  <si>
    <t>02 40 60 52 13</t>
  </si>
  <si>
    <t>Harold et Amelie</t>
  </si>
  <si>
    <t>L'Océanic</t>
  </si>
  <si>
    <t>La Bernerie-en-Retz</t>
  </si>
  <si>
    <t>contact@traiteur-oceanic.fr</t>
  </si>
  <si>
    <t>02 40 82 70 52</t>
  </si>
  <si>
    <t>Barbelion</t>
  </si>
  <si>
    <t>Restaurant Auberge Jean d'la Queue</t>
  </si>
  <si>
    <t>resagroupe@sflsarl.fr</t>
  </si>
  <si>
    <t>02 40 54 80 28</t>
  </si>
  <si>
    <t>Pas disponible</t>
  </si>
  <si>
    <t>Chez Pipette</t>
  </si>
  <si>
    <t>contact@aubergechezpipette.fr</t>
  </si>
  <si>
    <t>02 40 54 80 47</t>
  </si>
  <si>
    <t>Sébatien</t>
  </si>
  <si>
    <t xml:space="preserve">Liste envoyé </t>
  </si>
  <si>
    <t>Au Retour du Marché</t>
  </si>
  <si>
    <t>44770</t>
  </si>
  <si>
    <t>eurl.ardm@gmail.com</t>
  </si>
  <si>
    <t>02 51 18 24 79</t>
  </si>
  <si>
    <t>Maxime Merceron</t>
  </si>
  <si>
    <t>Restaurant - Le Bistrot Les Sarments</t>
  </si>
  <si>
    <t>La Turballe</t>
  </si>
  <si>
    <t>le.bistrot.des.sarments@orange.fr</t>
  </si>
  <si>
    <t>02 40 62 84 25</t>
  </si>
  <si>
    <t>Le Bistrot</t>
  </si>
  <si>
    <t>contact@lebistrot-laturballe.fr</t>
  </si>
  <si>
    <t>02 40 23 74 65</t>
  </si>
  <si>
    <t>fred l'écailler</t>
  </si>
  <si>
    <t>44489</t>
  </si>
  <si>
    <t>fredricpierre.donval@gmail.com</t>
  </si>
  <si>
    <t>Frédéric</t>
  </si>
  <si>
    <t>o jardin secret</t>
  </si>
  <si>
    <t>ojardinsecret.lecroisic@gmail.com</t>
  </si>
  <si>
    <t>Mme Noel</t>
  </si>
  <si>
    <t>l'océan</t>
  </si>
  <si>
    <t>hotel@restaurantocean.com</t>
  </si>
  <si>
    <t>Sanson</t>
  </si>
  <si>
    <t>l amélodie d'ael</t>
  </si>
  <si>
    <t>44491</t>
  </si>
  <si>
    <t>lamelodiedael@gmail.com</t>
  </si>
  <si>
    <t>Le comptoir</t>
  </si>
  <si>
    <t>44492</t>
  </si>
  <si>
    <t>lydia.pepin@orange.fr</t>
  </si>
  <si>
    <t>Lydia</t>
  </si>
  <si>
    <t>lefenigo</t>
  </si>
  <si>
    <t>44493</t>
  </si>
  <si>
    <t>hugohuygevelde@gmail.com</t>
  </si>
  <si>
    <t xml:space="preserve">Anna </t>
  </si>
  <si>
    <t>domaine port aux rocs</t>
  </si>
  <si>
    <t>44494</t>
  </si>
  <si>
    <t>contact@portauxrocs.eu</t>
  </si>
  <si>
    <t>Le Neptune</t>
  </si>
  <si>
    <t>leneptunelecroisic@orange.fr</t>
  </si>
  <si>
    <t>02 40 23 02 59</t>
  </si>
  <si>
    <t>Jackie Raymond Boucher &amp; Brigitte Daniele Boucher (Vincent)</t>
  </si>
  <si>
    <t>Café Jules</t>
  </si>
  <si>
    <t>cafejules@orange.fr</t>
  </si>
  <si>
    <t>02 40 42 31 79</t>
  </si>
  <si>
    <t>Mr Thiebaud</t>
  </si>
  <si>
    <t>L'Aparté</t>
  </si>
  <si>
    <t>contact@traiteurlaparte.fr</t>
  </si>
  <si>
    <t>Jules Albert René Marie Delaunay &amp; Franck Mickaël Pascal Haloche</t>
  </si>
  <si>
    <t>Message laissé sur la messagerie</t>
  </si>
  <si>
    <t>le bateau ivre</t>
  </si>
  <si>
    <t>44511</t>
  </si>
  <si>
    <t>blanloeilmaxence@gmail.com</t>
  </si>
  <si>
    <t>Maxence</t>
  </si>
  <si>
    <t>Le Bistro du T.Bone</t>
  </si>
  <si>
    <t>nomade.acadar@gmail.com</t>
  </si>
  <si>
    <t>02 40 01 69 78</t>
  </si>
  <si>
    <t>westotel</t>
  </si>
  <si>
    <t>reservation@westotel-lepouliguen.com</t>
  </si>
  <si>
    <t>Mr le Gouille</t>
  </si>
  <si>
    <t>Le T.Bone</t>
  </si>
  <si>
    <t>tbone.armm@gmail.com</t>
  </si>
  <si>
    <t>02 40 62 23 66</t>
  </si>
  <si>
    <t>Brasserie de la Bretesche - Le Club</t>
  </si>
  <si>
    <t>Missillac</t>
  </si>
  <si>
    <t>44780</t>
  </si>
  <si>
    <t>reception@bretesche.com</t>
  </si>
  <si>
    <t>02 51 76 86 97</t>
  </si>
  <si>
    <t>Pas intéréssé car activité presque à l'arrêt</t>
  </si>
  <si>
    <t>Le Reflet</t>
  </si>
  <si>
    <t>restaurant.lereflet@gmail.com</t>
  </si>
  <si>
    <t>+33 2 57 54 61 78</t>
  </si>
  <si>
    <t>Flore Lelievre</t>
  </si>
  <si>
    <t>44001</t>
  </si>
  <si>
    <t>+33 2 40 47 47 98</t>
  </si>
  <si>
    <t>Ludovic Pouzelgues &amp; Ludovic Gerard Pouzelgues</t>
  </si>
  <si>
    <t>Naia</t>
  </si>
  <si>
    <t>44002</t>
  </si>
  <si>
    <t>reservation@naiarestaurant.fr</t>
  </si>
  <si>
    <t>Mr Louis</t>
  </si>
  <si>
    <t>Maria</t>
  </si>
  <si>
    <t>44003</t>
  </si>
  <si>
    <t>contact@maria-nantes,com</t>
  </si>
  <si>
    <t>Balthazar</t>
  </si>
  <si>
    <t>44004</t>
  </si>
  <si>
    <t>contact@balthazar,family</t>
  </si>
  <si>
    <t>la Taverne</t>
  </si>
  <si>
    <t>44005</t>
  </si>
  <si>
    <t>taverne,royale@orange,fr</t>
  </si>
  <si>
    <t xml:space="preserve">les copains d'abord </t>
  </si>
  <si>
    <t>44006</t>
  </si>
  <si>
    <t>cargol6644@gmail,com</t>
  </si>
  <si>
    <t>Lamaccotte</t>
  </si>
  <si>
    <t>44007</t>
  </si>
  <si>
    <t>maccot@hotmail,fr</t>
  </si>
  <si>
    <t xml:space="preserve">ma poule </t>
  </si>
  <si>
    <t>44008</t>
  </si>
  <si>
    <t>restaurant@mapoule-nantes,com</t>
  </si>
  <si>
    <t>le bistrot basque</t>
  </si>
  <si>
    <t>44009</t>
  </si>
  <si>
    <t>bistrotbasquenantes@gmail,com</t>
  </si>
  <si>
    <t>Noémie</t>
  </si>
  <si>
    <t>RADISSON BLU</t>
  </si>
  <si>
    <t>restaurant.nantes@radissonblu.com</t>
  </si>
  <si>
    <t>02 72 00 12 14</t>
  </si>
  <si>
    <t>Les Petits Saints</t>
  </si>
  <si>
    <t>les-petitssaints@wanadoo.fr</t>
  </si>
  <si>
    <t>02 40 20 24 48</t>
  </si>
  <si>
    <t>Bistrot de la Comédie</t>
  </si>
  <si>
    <t>bistrotdelacomedie@gmail.com</t>
  </si>
  <si>
    <t>02 51 25 08 24</t>
  </si>
  <si>
    <t>Emeric</t>
  </si>
  <si>
    <t>Emeric Chambon</t>
  </si>
  <si>
    <t>Manoir de la Regate</t>
  </si>
  <si>
    <t>info@manoir-regate.com</t>
  </si>
  <si>
    <t>Le Bö Vins</t>
  </si>
  <si>
    <t>jpfmg44@gmail.com</t>
  </si>
  <si>
    <t>02 55 10 27 12</t>
  </si>
  <si>
    <t>DOMAINE D'ORVAULT (LE)</t>
  </si>
  <si>
    <t>Orvault</t>
  </si>
  <si>
    <t>44700</t>
  </si>
  <si>
    <t>contact@domaine-orvault.com</t>
  </si>
  <si>
    <t>02.40.76.84.02</t>
  </si>
  <si>
    <t>Le 11 Bistrot Gourmand</t>
  </si>
  <si>
    <t>charpygilles@aol.com</t>
  </si>
  <si>
    <t>02 40 42 23 28</t>
  </si>
  <si>
    <t>Gilles Jean Maurice Charpy &amp; Stephanie Anne Charpy-Harouard (Harouard)</t>
  </si>
  <si>
    <t>Eco-Domaine La Fontaine - Salon de Thé</t>
  </si>
  <si>
    <t>infos@ecodomaine-la-fontaine.fr</t>
  </si>
  <si>
    <t>02 51 74 08 08</t>
  </si>
  <si>
    <t>Doit rappeller ou relancer</t>
  </si>
  <si>
    <t>L'Ardillon</t>
  </si>
  <si>
    <t>lardillon44@gmail.com</t>
  </si>
  <si>
    <t>02 51 18 61 41</t>
  </si>
  <si>
    <t>Leo Michel Roger Robin &amp; Paco Pierre Paul Jules Robin</t>
  </si>
  <si>
    <t>Restaurant Le Bistronomi'k</t>
  </si>
  <si>
    <t>bistronomik44@orange.fr</t>
  </si>
  <si>
    <t>02 44 06 50 03</t>
  </si>
  <si>
    <t>marketing@panorama.group</t>
  </si>
  <si>
    <t>02 40 61 29 29</t>
  </si>
  <si>
    <t>Lex Audit &amp; Panorama Group</t>
  </si>
  <si>
    <t>Glouglou La Table</t>
  </si>
  <si>
    <t>contact@glouglou-pornichet.com</t>
  </si>
  <si>
    <t>02 40 61 75 15</t>
  </si>
  <si>
    <t>Grain de Folie</t>
  </si>
  <si>
    <t>resto@grain2folie.fr</t>
  </si>
  <si>
    <t>02 40 61 06 06</t>
  </si>
  <si>
    <t>Catherine Gouon &amp; Eric Le Delliou</t>
  </si>
  <si>
    <t>The public house</t>
  </si>
  <si>
    <t>44381</t>
  </si>
  <si>
    <t>lucile,toublanc@hotmail,fr</t>
  </si>
  <si>
    <t>Lucile</t>
  </si>
  <si>
    <t>Le Patio</t>
  </si>
  <si>
    <t>contact@hotelsudbretagne.fr</t>
  </si>
  <si>
    <t>02 40 11 65 00</t>
  </si>
  <si>
    <t>Claudette Fanny Madeleine Poulet (Jachliel)</t>
  </si>
  <si>
    <t>Autour du Vin</t>
  </si>
  <si>
    <t>autourduvin44@gmail.com</t>
  </si>
  <si>
    <t>06 89 31 30 19 ou 09 84 49 78 16</t>
  </si>
  <si>
    <t>Helene</t>
  </si>
  <si>
    <t>Le Grand Chemin</t>
  </si>
  <si>
    <t>contact@restaurant-legrandchemin.fr</t>
  </si>
  <si>
    <t>02 40 64 16 10</t>
  </si>
  <si>
    <t>Mark Gunter Averhoff &amp; Aurore Texereau</t>
  </si>
  <si>
    <t>Auberge Le Nézil</t>
  </si>
  <si>
    <t>Saint-Lyphard</t>
  </si>
  <si>
    <t>44410</t>
  </si>
  <si>
    <t>aubergelenezil.stlyphard@gmail.com</t>
  </si>
  <si>
    <t>02 40 91 41 41</t>
  </si>
  <si>
    <t>Samuel Blanchetiere</t>
  </si>
  <si>
    <t>Interresé</t>
  </si>
  <si>
    <t>Restaurant le Beau Boucot</t>
  </si>
  <si>
    <t>44730</t>
  </si>
  <si>
    <t>contact@beauboucot.com</t>
  </si>
  <si>
    <t>02 28 53 10 75</t>
  </si>
  <si>
    <t>Appeller à partir de 18h</t>
  </si>
  <si>
    <t>La Mare aux Oiseaux</t>
  </si>
  <si>
    <t>Saint-Joachim</t>
  </si>
  <si>
    <t>acceuil@mareauxoiseau.fr</t>
  </si>
  <si>
    <t>02 40 88 53 01</t>
  </si>
  <si>
    <t>Le Royam</t>
  </si>
  <si>
    <t>contact@leroyam.fr</t>
  </si>
  <si>
    <t>02 40 56 42 63</t>
  </si>
  <si>
    <t>Rose Metivier</t>
  </si>
  <si>
    <t>Les Bâteliers</t>
  </si>
  <si>
    <t>contact.ancenis@gmail.com</t>
  </si>
  <si>
    <t>02 40 96 00 03</t>
  </si>
  <si>
    <t>Envoyé Mail contact.ancenis@gmail.com</t>
  </si>
  <si>
    <t>le clos saint thomas</t>
  </si>
  <si>
    <t>contact@le-clos-saint-thomas.fr</t>
  </si>
  <si>
    <t>François</t>
  </si>
  <si>
    <t>guindaille</t>
  </si>
  <si>
    <t>info@guindaille.fr</t>
  </si>
  <si>
    <t>Jeanne</t>
  </si>
  <si>
    <t>bistrot 88</t>
  </si>
  <si>
    <t>Mr Clavery</t>
  </si>
  <si>
    <t>Busk</t>
  </si>
  <si>
    <t>elisa.rolland@accor.com</t>
  </si>
  <si>
    <t>Elisa</t>
  </si>
  <si>
    <t xml:space="preserve">santosha </t>
  </si>
  <si>
    <t>damien.lesbos@free.fr</t>
  </si>
  <si>
    <t>Damien</t>
  </si>
  <si>
    <t xml:space="preserve">L'envolée </t>
  </si>
  <si>
    <t>resto.lenvolee@gmail.com</t>
  </si>
  <si>
    <t>le petit goinfre</t>
  </si>
  <si>
    <t>contact@lepetitgoinfre.fr</t>
  </si>
  <si>
    <t>Auberge du menhir</t>
  </si>
  <si>
    <t>aubergedumenhir@gmail.com</t>
  </si>
  <si>
    <t>Ludo et Benoit</t>
  </si>
  <si>
    <t>bahia tikka/brigitte/nina laplage</t>
  </si>
  <si>
    <t>hola@baihiatikka,com</t>
  </si>
  <si>
    <t>Antre Pote’s</t>
  </si>
  <si>
    <t>ssouleyreau@vinidiss.com</t>
  </si>
  <si>
    <t>+33 2 40 17 62 87</t>
  </si>
  <si>
    <t>Au Coup d'Canon</t>
  </si>
  <si>
    <t>ocoudcanon@yahoo.fr</t>
  </si>
  <si>
    <t>+33 2 40 35 62 57</t>
  </si>
  <si>
    <t>Au petit Raphaël</t>
  </si>
  <si>
    <t>chabotnicolas82@gmail.com</t>
  </si>
  <si>
    <t>+33 2 28 25 72 32</t>
  </si>
  <si>
    <t>Auberge Nantaise</t>
  </si>
  <si>
    <t>aubergenantaise@sfr.fr</t>
  </si>
  <si>
    <t>+33 2 40 54 10 73</t>
  </si>
  <si>
    <t>BibimboX</t>
  </si>
  <si>
    <t>jinok@bbimbox.fr</t>
  </si>
  <si>
    <t>+33 2 51 82 33 65</t>
  </si>
  <si>
    <t>contact@boccasunset.com</t>
  </si>
  <si>
    <t>+33 2 40 61 29 29</t>
  </si>
  <si>
    <t>Bonbourg</t>
  </si>
  <si>
    <t>bonbourgrestaurant@gmail.com</t>
  </si>
  <si>
    <t>+33 2 55 54 96 96</t>
  </si>
  <si>
    <t>Boucan</t>
  </si>
  <si>
    <t>bonjour@boucan-nantes.fr</t>
  </si>
  <si>
    <t>+33 2 28 29 31 26</t>
  </si>
  <si>
    <t>Café Kléber</t>
  </si>
  <si>
    <t>contact@cafe-kleber.fr</t>
  </si>
  <si>
    <t>+33 2 40 73 31 52</t>
  </si>
  <si>
    <t>Canaille</t>
  </si>
  <si>
    <t>contact@canaille-hab.com</t>
  </si>
  <si>
    <t>+33 2 28 44 30 23</t>
  </si>
  <si>
    <t>Casa Cruz</t>
  </si>
  <si>
    <t>contact@casacruz.fr</t>
  </si>
  <si>
    <t>+33 2 28 30 19 81</t>
  </si>
  <si>
    <t>Chacha</t>
  </si>
  <si>
    <t>restolechacha@gmail.com</t>
  </si>
  <si>
    <t>+33 9 83 88 83 53</t>
  </si>
  <si>
    <t>Chanchan</t>
  </si>
  <si>
    <t>contact@chanchan.family</t>
  </si>
  <si>
    <t>+33 2 40 34 84 12</t>
  </si>
  <si>
    <t>Cheese &amp; Friends</t>
  </si>
  <si>
    <t>cheeseandfriends@outlook.com</t>
  </si>
  <si>
    <t>+33 9 81 06 22 12</t>
  </si>
  <si>
    <t>Chez B.B.</t>
  </si>
  <si>
    <t>les2ben44@gmail.com</t>
  </si>
  <si>
    <t>+33 2 28 44 52 83</t>
  </si>
  <si>
    <t>Chez Franklin</t>
  </si>
  <si>
    <t>coucou@chezfranklin.fr</t>
  </si>
  <si>
    <t>+33 2 51 82 35 20</t>
  </si>
  <si>
    <t>Chez Louisette</t>
  </si>
  <si>
    <t>chezlouisette.resa@gmail.com</t>
  </si>
  <si>
    <t>+33 2 40 47 04 44</t>
  </si>
  <si>
    <t>Chez ta mère</t>
  </si>
  <si>
    <t>ctm.centreville@gmail.com</t>
  </si>
  <si>
    <t>+33 9 83 78 73 66</t>
  </si>
  <si>
    <t>Chromosome Restaurant</t>
  </si>
  <si>
    <t>contact@chromosome-resto.fr</t>
  </si>
  <si>
    <t>+33 7 71 94 53 79</t>
  </si>
  <si>
    <t>Crêperie du Derwin</t>
  </si>
  <si>
    <t>creperieduderwin@gmail.com</t>
  </si>
  <si>
    <t>+33 2 40 23 90 06</t>
  </si>
  <si>
    <t>Crêperie du verger</t>
  </si>
  <si>
    <t>creperieduverger@orange.fr</t>
  </si>
  <si>
    <t>+33240518455</t>
  </si>
  <si>
    <t>Dhandi</t>
  </si>
  <si>
    <t>laboutiquesolidaire@dhandi.fr</t>
  </si>
  <si>
    <t>+33 7 64 20 83 43</t>
  </si>
  <si>
    <t>Domoro</t>
  </si>
  <si>
    <t>contact@domoro.fr</t>
  </si>
  <si>
    <t>+33 2 85 37 05 94</t>
  </si>
  <si>
    <t>Délices d'Asie</t>
  </si>
  <si>
    <t>delicedasie@outlook.fr</t>
  </si>
  <si>
    <t>+33 2 40 40 92 36</t>
  </si>
  <si>
    <t>Edmond</t>
  </si>
  <si>
    <t>edmond44380@gmail.com</t>
  </si>
  <si>
    <t>+33 2 51 75 29 57</t>
  </si>
  <si>
    <t>Elma</t>
  </si>
  <si>
    <t>contact@elma-restaurant.com</t>
  </si>
  <si>
    <t>+33 2 51 84 10 08</t>
  </si>
  <si>
    <t>Favela</t>
  </si>
  <si>
    <t>contact@favelanantes.fr</t>
  </si>
  <si>
    <t>+33 2 28 24 92 07</t>
  </si>
  <si>
    <t>Giola</t>
  </si>
  <si>
    <t>contact@giola.fr</t>
  </si>
  <si>
    <t>+33 2 40 20 41 58</t>
  </si>
  <si>
    <t>Giorgio Ristorante</t>
  </si>
  <si>
    <t>giorgio.ristorante44@gmail.com</t>
  </si>
  <si>
    <t>+33 2 40 52 36 68</t>
  </si>
  <si>
    <t>Guindaille</t>
  </si>
  <si>
    <t>+33 2 40 75 53 05</t>
  </si>
  <si>
    <t>Hôtel-Restaurant Côté Mer</t>
  </si>
  <si>
    <t>contact@hotelcotemer.com</t>
  </si>
  <si>
    <t>+33 2 53 19 88 19</t>
  </si>
  <si>
    <t>Inde et Vous Bindi</t>
  </si>
  <si>
    <t>indeetvousbindi44@gmail.com</t>
  </si>
  <si>
    <t>+33 2 51 72 41 01</t>
  </si>
  <si>
    <t>India Tandoor</t>
  </si>
  <si>
    <t>azimroger@live.fr</t>
  </si>
  <si>
    <t>+33 2 40 35 35 19</t>
  </si>
  <si>
    <t>Indya</t>
  </si>
  <si>
    <t>augustin.joji@gmail.com</t>
  </si>
  <si>
    <t>+33975249542</t>
  </si>
  <si>
    <t>Jaleo</t>
  </si>
  <si>
    <t>jaleo.quartierchantenay@gmail.com</t>
  </si>
  <si>
    <t>+33 9 88 49 04 95</t>
  </si>
  <si>
    <t>Jano</t>
  </si>
  <si>
    <t>jcauquil@yahoo.fr</t>
  </si>
  <si>
    <t>+33240258560</t>
  </si>
  <si>
    <t>L'Abélia</t>
  </si>
  <si>
    <t>restaurant.abelia@neuf.fr</t>
  </si>
  <si>
    <t>+33 2 40 35 40 00</t>
  </si>
  <si>
    <t>L'Aporrhais</t>
  </si>
  <si>
    <t>restaurantlaporrhais@gmail.com</t>
  </si>
  <si>
    <t>+33 2 40 23 39 64</t>
  </si>
  <si>
    <t>L'Atlantide 1874</t>
  </si>
  <si>
    <t>+33 2 40 73 23 23</t>
  </si>
  <si>
    <t>L'Echappée</t>
  </si>
  <si>
    <t>contact.nantes@blockout.fr</t>
  </si>
  <si>
    <t>+33 2 40 92 88 62</t>
  </si>
  <si>
    <t>L'Estacade</t>
  </si>
  <si>
    <t>contact@lestacade.fr</t>
  </si>
  <si>
    <t>+33 2 40 23 03 77</t>
  </si>
  <si>
    <t>L'Océanide</t>
  </si>
  <si>
    <t>restaurant.oceanide@orange.fr</t>
  </si>
  <si>
    <t>+33 2 40 20 32 28</t>
  </si>
  <si>
    <t>L'Olivier</t>
  </si>
  <si>
    <t>lolivier.matkil@hotmail.com</t>
  </si>
  <si>
    <t>+33 2 40 15 59 08</t>
  </si>
  <si>
    <t>La Cachette</t>
  </si>
  <si>
    <t>lacachettenantes@orange.fr</t>
  </si>
  <si>
    <t>+33 2 40 47 42 91</t>
  </si>
  <si>
    <t>La Cantine Portugaise</t>
  </si>
  <si>
    <t>latable-rondeportugaise@outlook.com</t>
  </si>
  <si>
    <t>+33 7 45 13 57 50</t>
  </si>
  <si>
    <t>La Cantine du Général</t>
  </si>
  <si>
    <t>contact@lacantinedugeneral.fr</t>
  </si>
  <si>
    <t>+33 2 28 00 63 84</t>
  </si>
  <si>
    <t>La Cerise sur le Gâteau</t>
  </si>
  <si>
    <t>gaelle.cerisesurlegateau@gmail.com</t>
  </si>
  <si>
    <t>+33 2 40 09 59 59</t>
  </si>
  <si>
    <t>La Cigale</t>
  </si>
  <si>
    <t>lacigale@lacigale.com</t>
  </si>
  <si>
    <t>+33 2 51 84 94 94</t>
  </si>
  <si>
    <t>La Căn Tin Việt</t>
  </si>
  <si>
    <t>lacantinviet@gmail.com</t>
  </si>
  <si>
    <t>+33 9 52 97 43 25</t>
  </si>
  <si>
    <t>La Grillandine</t>
  </si>
  <si>
    <t>lagrillandine@laposte.net</t>
  </si>
  <si>
    <t>+33 2 40 70 09 30</t>
  </si>
  <si>
    <t>La Mangouste</t>
  </si>
  <si>
    <t>contact@lamangouste.net</t>
  </si>
  <si>
    <t>+33 2 51 72 31 81</t>
  </si>
  <si>
    <t>La Pasta</t>
  </si>
  <si>
    <t>lapasta.nantes@gmail.com</t>
  </si>
  <si>
    <t>+33 2 40 47 33 22</t>
  </si>
  <si>
    <t>La Pente Douce</t>
  </si>
  <si>
    <t>zolapentedouce@gmail.com</t>
  </si>
  <si>
    <t>+33 2 40 85 77 30</t>
  </si>
  <si>
    <t>La Table du Marquis</t>
  </si>
  <si>
    <t>conciergerie@chateaudemaubreuil.com</t>
  </si>
  <si>
    <t>+33 2 21 70 03 70</t>
  </si>
  <si>
    <t>La Tosca</t>
  </si>
  <si>
    <t>latosca44300@gmail.com</t>
  </si>
  <si>
    <t>+33 2 40 49 30 60</t>
  </si>
  <si>
    <t>La bourriche</t>
  </si>
  <si>
    <t>labourriche.co@gmail.com</t>
  </si>
  <si>
    <t>+33 9 55 31 98 92</t>
  </si>
  <si>
    <t>La cantine du Mekong</t>
  </si>
  <si>
    <t>lani555515@gmail.com</t>
  </si>
  <si>
    <t>+33 7 78 87 07 41</t>
  </si>
  <si>
    <t>La table d'Edouard</t>
  </si>
  <si>
    <t>h7054@accor.com</t>
  </si>
  <si>
    <t>maccot@hotmail.fr</t>
  </si>
  <si>
    <t>+33 2 85 37 42 30</t>
  </si>
  <si>
    <t>Le B</t>
  </si>
  <si>
    <t>bistrotleb@hotmail.fr</t>
  </si>
  <si>
    <t>+33 2 28 08 71 76</t>
  </si>
  <si>
    <t>Le Bistrot Basque</t>
  </si>
  <si>
    <t>bistrot-basque@le-bistrot-basque.com</t>
  </si>
  <si>
    <t>+33 2 40 35 31 17</t>
  </si>
  <si>
    <t>Le Bistrot Somar</t>
  </si>
  <si>
    <t>contact@bistrotsomar.fr</t>
  </si>
  <si>
    <t>+33 2 40 23 28 50</t>
  </si>
  <si>
    <t>Le Bombay</t>
  </si>
  <si>
    <t>restaurantbombay.nantes@gmail.com</t>
  </si>
  <si>
    <t>+33 2 40 35 15 54</t>
  </si>
  <si>
    <t>Le Cambronne</t>
  </si>
  <si>
    <t>contact@lecambronne-bistrotchic.fr</t>
  </si>
  <si>
    <t>+33 2 40 47 36 42</t>
  </si>
  <si>
    <t>Le Cochon qui fume</t>
  </si>
  <si>
    <t>lecochonquifume.nantes@gmail.com</t>
  </si>
  <si>
    <t>+33 2 40 48 13 30</t>
  </si>
  <si>
    <t>Le Coup du Lapin</t>
  </si>
  <si>
    <t>lecodulap@gmail.com</t>
  </si>
  <si>
    <t>+33 9 83 78 51 17</t>
  </si>
  <si>
    <t>Le Joséphine B.</t>
  </si>
  <si>
    <t>lejosephineb@gmail.com</t>
  </si>
  <si>
    <t>+33 2 40 69 36 51</t>
  </si>
  <si>
    <t>Le KréGrand</t>
  </si>
  <si>
    <t>resa@lekregrand.com</t>
  </si>
  <si>
    <t>+33 6 16 42 11 39</t>
  </si>
  <si>
    <t>contact@lepationnement.com</t>
  </si>
  <si>
    <t>+33 2 51 82 41 16</t>
  </si>
  <si>
    <t>Le Phare 1852</t>
  </si>
  <si>
    <t>lephare1852@gmail.com</t>
  </si>
  <si>
    <t>+33 9 55 95 44 90</t>
  </si>
  <si>
    <t>Le Relais Saint-Clair</t>
  </si>
  <si>
    <t>relaisclair@wanadoo.fr</t>
  </si>
  <si>
    <t>+33 2 52 78 00 12</t>
  </si>
  <si>
    <t>Le Spot</t>
  </si>
  <si>
    <t>contact@cis-nantes-le-spot.com</t>
  </si>
  <si>
    <t>+33219003260</t>
  </si>
  <si>
    <t>Le Velvet</t>
  </si>
  <si>
    <t>velvetnantes@gmail.com</t>
  </si>
  <si>
    <t>+33 6 51 82 77 07</t>
  </si>
  <si>
    <t>Le huitième</t>
  </si>
  <si>
    <t>lehuitieme44600@gmail.com</t>
  </si>
  <si>
    <t>+33 240224951</t>
  </si>
  <si>
    <t>Le lion et l’agneau</t>
  </si>
  <si>
    <t>contact@le-lion-et-lagneau.fr</t>
  </si>
  <si>
    <t>+33 2 55 10 58 74</t>
  </si>
  <si>
    <t>Les Filles de la Côte</t>
  </si>
  <si>
    <t>contact@lesfillesdelacote.fr</t>
  </si>
  <si>
    <t>+33 2 40 74 00 98</t>
  </si>
  <si>
    <t>Lord's</t>
  </si>
  <si>
    <t>trichard.hugues@gmail.com</t>
  </si>
  <si>
    <t>+33 2 28 06 33 30</t>
  </si>
  <si>
    <t>Lotus Ravioli</t>
  </si>
  <si>
    <t>Hôtel de La Régate</t>
  </si>
  <si>
    <t>bingyongjia@gmail.com</t>
  </si>
  <si>
    <t>+33 9 87 72 46 51</t>
  </si>
  <si>
    <t>Hôtel 4★</t>
  </si>
  <si>
    <t>Lulu le Bistrot</t>
  </si>
  <si>
    <t>contact@lululebistrot.fr</t>
  </si>
  <si>
    <t>hotelregate@hotel-nantes-laregate.com</t>
  </si>
  <si>
    <t>+33 2 53 35 26 65</t>
  </si>
  <si>
    <t>L’Envolée de la Chrysalide</t>
  </si>
  <si>
    <t>=+33 2 40 50 22 22</t>
  </si>
  <si>
    <t>michel.lenvolee@gmail.com</t>
  </si>
  <si>
    <t>+33 2 40 53 02 43</t>
  </si>
  <si>
    <t>Ma Poule</t>
  </si>
  <si>
    <t>https://www.hotel-nantes-laregate.com/fr/</t>
  </si>
  <si>
    <t>restaurantmapoule@gmail.com</t>
  </si>
  <si>
    <t>+33 2 28 29 81 29</t>
  </si>
  <si>
    <t>Macoha</t>
  </si>
  <si>
    <t>contact@macoha-nantes.com</t>
  </si>
  <si>
    <t>+33 2 51 83 29 89</t>
  </si>
  <si>
    <t>Maison BB</t>
  </si>
  <si>
    <t>restobbnantes@gmail.com</t>
  </si>
  <si>
    <t>+332 40 30 11 99</t>
  </si>
  <si>
    <t>Maison Paganelli</t>
  </si>
  <si>
    <t>maisonpaganelli@gmail.com</t>
  </si>
  <si>
    <t>+33 2 40 89 18 54</t>
  </si>
  <si>
    <t>Malakouleur</t>
  </si>
  <si>
    <t>malakouleur@gmail.com</t>
  </si>
  <si>
    <t>+33 6 21 93 32 39</t>
  </si>
  <si>
    <t>contact@maria-nantes.com</t>
  </si>
  <si>
    <t>+33 2 28 21 77 03</t>
  </si>
  <si>
    <t>Mashup</t>
  </si>
  <si>
    <t>contact@mashup-nantes.fr</t>
  </si>
  <si>
    <t>+33 2 28 49 53 62</t>
  </si>
  <si>
    <t>Mathurin</t>
  </si>
  <si>
    <t>Kermibien</t>
  </si>
  <si>
    <t>contact@bistrot-mathurin.com</t>
  </si>
  <si>
    <t>HOTEL DE LA REGATE</t>
  </si>
  <si>
    <t>+33 2 40 32 55 01</t>
  </si>
  <si>
    <t>Meiga</t>
  </si>
  <si>
    <t>Le Majestic</t>
  </si>
  <si>
    <t>contact@meiga-nantes.fr</t>
  </si>
  <si>
    <t>+33 2 53 35 11 43</t>
  </si>
  <si>
    <t>Melon</t>
  </si>
  <si>
    <t>h5692@accor.com</t>
  </si>
  <si>
    <t>=+33 2 40 60 24 86</t>
  </si>
  <si>
    <t>lebistromelon@gmail.com</t>
  </si>
  <si>
    <t>+33 6 13 40 34 06</t>
  </si>
  <si>
    <t>https://all.accor.com/hotel/5692/index.fr.shtml</t>
  </si>
  <si>
    <t>Monseigneur</t>
  </si>
  <si>
    <t>contact@restaurantlemonseigneur.com</t>
  </si>
  <si>
    <t>+33 2 40 35 29 08</t>
  </si>
  <si>
    <t>Mugen ramen</t>
  </si>
  <si>
    <t>mugenrameeen@gmail.com</t>
  </si>
  <si>
    <t>+33 2 28 49 02 08</t>
  </si>
  <si>
    <t>O Deck</t>
  </si>
  <si>
    <t>infodeck@odeck.fr</t>
  </si>
  <si>
    <t>+33 2 40 71 71 00</t>
  </si>
  <si>
    <t>OHM.Town</t>
  </si>
  <si>
    <t>contact@ohm-town.fr</t>
  </si>
  <si>
    <t>+33 9 74 64 05 10</t>
  </si>
  <si>
    <t>Alain Marcel Gustave Camus &amp; Carl Alain Claude Camus</t>
  </si>
  <si>
    <t>Onedia</t>
  </si>
  <si>
    <t>S.C.I. MAJESTIC</t>
  </si>
  <si>
    <t>guillaume.colas@mail.darc2.fr</t>
  </si>
  <si>
    <t>+33 2 51 17 84 72</t>
  </si>
  <si>
    <t>Maison Maubreuil</t>
  </si>
  <si>
    <t>Hôtel 5★</t>
  </si>
  <si>
    <t>Ose Mets Vins</t>
  </si>
  <si>
    <t>osemetsvins@gmail.com</t>
  </si>
  <si>
    <t>hebergement@maisonmaubreuil.com</t>
  </si>
  <si>
    <t>+33240730386</t>
  </si>
  <si>
    <t>=+33 2 21 70 03 20</t>
  </si>
  <si>
    <t>Pickles</t>
  </si>
  <si>
    <t>https://www.maisonmaubreuil.com/fr/</t>
  </si>
  <si>
    <t>picklesnantes@gmail.com</t>
  </si>
  <si>
    <t>+33 2 51 84 11 89</t>
  </si>
  <si>
    <t>Plan B</t>
  </si>
  <si>
    <t>sgatinault@gmail.com</t>
  </si>
  <si>
    <t>+33 2 85 37 15 02</t>
  </si>
  <si>
    <t>Plume</t>
  </si>
  <si>
    <t>coucou@plumecantine.fr</t>
  </si>
  <si>
    <t>+33 6 80 07 74 86</t>
  </si>
  <si>
    <t>Ptéah</t>
  </si>
  <si>
    <t>pteahkhmer2024@gmail.com</t>
  </si>
  <si>
    <t>+33 9 62 32 71 29</t>
  </si>
  <si>
    <t>Pur Jus</t>
  </si>
  <si>
    <t>purjusreservation@outlook.com</t>
  </si>
  <si>
    <t>+33 2 40 58 54 04</t>
  </si>
  <si>
    <t>Philippe Rene Marie Rousse</t>
  </si>
  <si>
    <t>Quélys</t>
  </si>
  <si>
    <t>LOC IMMO</t>
  </si>
  <si>
    <t>contact@quelys-nantes.fr</t>
  </si>
  <si>
    <t>+33 2 28 29 58 97</t>
  </si>
  <si>
    <t>Mercure Nantes Centre Grand Hôtel</t>
  </si>
  <si>
    <t>Rio dos Camaroes</t>
  </si>
  <si>
    <t>m_educson@yahoo.fr</t>
  </si>
  <si>
    <t>+33 2 51 86 14 70</t>
  </si>
  <si>
    <t>h1985@accor.com</t>
  </si>
  <si>
    <t>=+33 2 51 82 10 00</t>
  </si>
  <si>
    <t>Sapore</t>
  </si>
  <si>
    <t>https://all.accor.com/hotel/1985/index.fr.shtml</t>
  </si>
  <si>
    <t>sapore.nantes@gmail.com</t>
  </si>
  <si>
    <t>+33 2 40 35 27 54</t>
  </si>
  <si>
    <t>Song</t>
  </si>
  <si>
    <t>contact@restaurant-song.fr</t>
  </si>
  <si>
    <t>+33 2 40 20 88 07</t>
  </si>
  <si>
    <t>Sources</t>
  </si>
  <si>
    <t>reservation@sources-nantes.fr</t>
  </si>
  <si>
    <t>+33 2 40 89 42 42</t>
  </si>
  <si>
    <t>Squadra</t>
  </si>
  <si>
    <t>contact@squadra-nantes.fr</t>
  </si>
  <si>
    <t>+33 2 28 44 92 38</t>
  </si>
  <si>
    <t>Suraj</t>
  </si>
  <si>
    <t>Seritel &amp; Ouest Conseils Audit</t>
  </si>
  <si>
    <t>GRAND HOTEL DE PARIS (MERCURE NANTES CENTRE PASSAGE POMMERAY</t>
  </si>
  <si>
    <t>zainsuraj1@gmail.com</t>
  </si>
  <si>
    <t>+33 2 51 82 35 41</t>
  </si>
  <si>
    <t>Oceania Hôtel de France Nantes</t>
  </si>
  <si>
    <t>Suzette Bistro</t>
  </si>
  <si>
    <t>contact.suzettebistro@gmail.com</t>
  </si>
  <si>
    <t>+33 2 28 29 50 75</t>
  </si>
  <si>
    <t>oceania.hoteldefrance@oceaniahotels.com</t>
  </si>
  <si>
    <t>Sølheim</t>
  </si>
  <si>
    <t>bonjour@solheim.fr</t>
  </si>
  <si>
    <t>+33 2 53 78 40 61</t>
  </si>
  <si>
    <t>=+33 2 40 73 57 91</t>
  </si>
  <si>
    <t>https://www.oceaniahotels.com</t>
  </si>
  <si>
    <t>Tartines et Bouchons</t>
  </si>
  <si>
    <t>restaurant@tartinesetbouchons.com</t>
  </si>
  <si>
    <t>+33240478540</t>
  </si>
  <si>
    <t>The Garden</t>
  </si>
  <si>
    <t>contact@thegardenbrunch.com</t>
  </si>
  <si>
    <t>+33 7 88 40 72 87</t>
  </si>
  <si>
    <t>Tik Tak</t>
  </si>
  <si>
    <t>tiktak44000@gmail.com</t>
  </si>
  <si>
    <t>+33 2 55 09 89 84</t>
  </si>
  <si>
    <t>Tire-Fesses Bouguenais</t>
  </si>
  <si>
    <t>tire-fesses.bouguenais@gmail.com</t>
  </si>
  <si>
    <t>Vanola</t>
  </si>
  <si>
    <t>contact@restaurant-vanola.fr</t>
  </si>
  <si>
    <t>+33 2 55 02 98 04</t>
  </si>
  <si>
    <t>Geirec &amp; F.B.I.</t>
  </si>
  <si>
    <t>SOCIETE NANTAISE L'HOTEL DE FRANCE SNHF</t>
  </si>
  <si>
    <t>Vertical'Art</t>
  </si>
  <si>
    <t>nantes@vertical-art.fr</t>
  </si>
  <si>
    <t>Seven Urban Suites Nantes</t>
  </si>
  <si>
    <t>+33967775124</t>
  </si>
  <si>
    <t>Youna</t>
  </si>
  <si>
    <t>nantes@7urbansuites.fr</t>
  </si>
  <si>
    <t>=+33 2 51 72 97 00</t>
  </si>
  <si>
    <t>camil.kossa@hotmail.com</t>
  </si>
  <si>
    <t>+33 2 40 12 41 58</t>
  </si>
  <si>
    <t>https://www.7urbansuites.fr/</t>
  </si>
  <si>
    <t>Yummy</t>
  </si>
  <si>
    <t>nantes@yummyrestaurant.fr</t>
  </si>
  <si>
    <t>+33 9 53 58 46 26</t>
  </si>
  <si>
    <t>Éveille tes Papilles</t>
  </si>
  <si>
    <t>contact.eveilletespapilles@gmail.com</t>
  </si>
  <si>
    <t>+33 9 51 80 10 76</t>
  </si>
  <si>
    <t>Ô 6bis</t>
  </si>
  <si>
    <t>contact@o6bis.fr</t>
  </si>
  <si>
    <t>+33 7 83 15 51 95</t>
  </si>
  <si>
    <t>à boire &amp; à manger</t>
  </si>
  <si>
    <t>aboireetamangernantes@gmail.com</t>
  </si>
  <si>
    <t>+33 240580510</t>
  </si>
  <si>
    <t>Jean-Marc Mulko</t>
  </si>
  <si>
    <t>SEVEN URBAN SUITES</t>
  </si>
  <si>
    <t>Les Cimes Bleues</t>
  </si>
  <si>
    <t>Restaurant Auberge de la Maine</t>
  </si>
  <si>
    <t>Aigrefeuille-Sur-Maine</t>
  </si>
  <si>
    <t>44140</t>
  </si>
  <si>
    <t>info@cimesbleues.com</t>
  </si>
  <si>
    <t>aubergedelamaine@gmail.com</t>
  </si>
  <si>
    <t>=+33 2 53 53 21 00</t>
  </si>
  <si>
    <t>02 40 10 03 29</t>
  </si>
  <si>
    <t>https://www.cimesbleues.com/</t>
  </si>
  <si>
    <t>Guinguette de l'Éperon</t>
  </si>
  <si>
    <t>eperon@kresto.fr</t>
  </si>
  <si>
    <t>Kaïflo</t>
  </si>
  <si>
    <t>kaiflo.ancenis@gmail.com</t>
  </si>
  <si>
    <t>09 60 05 59 65</t>
  </si>
  <si>
    <t>L'Entr'Potes</t>
  </si>
  <si>
    <t>lentrpotes.ancenis@gmail.com</t>
  </si>
  <si>
    <t>La Tour Mermoz</t>
  </si>
  <si>
    <t>Renaud François Biard &amp; La French Collection</t>
  </si>
  <si>
    <t>HOTEL LES CIMES BLEUES (à vérifier)</t>
  </si>
  <si>
    <t>Restaurant gastronomique - cuisine raffinée | email partagé avec: Restaurant SCAPA</t>
  </si>
  <si>
    <t>latourmermoz@hotmail.com</t>
  </si>
  <si>
    <t>02 40 83 77 77</t>
  </si>
  <si>
    <t>L'Océan</t>
  </si>
  <si>
    <t>Le Café de la Gare</t>
  </si>
  <si>
    <t>laculturedelagare.ancenis@gmail.com</t>
  </si>
  <si>
    <t>reservation@grandhotelocean.com</t>
  </si>
  <si>
    <t>02 40 96 60 11</t>
  </si>
  <si>
    <t>=+33 2 40 62 90 03</t>
  </si>
  <si>
    <t>http://www.restaurantlocean.com</t>
  </si>
  <si>
    <t>Le Goudalier</t>
  </si>
  <si>
    <t>contact@legoudalier.fr</t>
  </si>
  <si>
    <t>02 40 98 18 16</t>
  </si>
  <si>
    <t>Le William's</t>
  </si>
  <si>
    <t>lewilliams@laposte.net</t>
  </si>
  <si>
    <t>02 40 96 12 69</t>
  </si>
  <si>
    <t>Mamzelle Edith</t>
  </si>
  <si>
    <t>Catégorie</t>
  </si>
  <si>
    <t>mamzelleedithancenis@gmail.com</t>
  </si>
  <si>
    <t>02 40 96 06 11</t>
  </si>
  <si>
    <t>Contact</t>
  </si>
  <si>
    <t>Fonction</t>
  </si>
  <si>
    <t>Monsieur Marcel</t>
  </si>
  <si>
    <t>monsieurmarcelancenis@gmail.com</t>
  </si>
  <si>
    <t>02 40 96 35 60</t>
  </si>
  <si>
    <t>Note / Source</t>
  </si>
  <si>
    <t>Restaurant Akwaba</t>
  </si>
  <si>
    <t>Michel Sebastien Abgrall &amp; Iwan Loic Le Quéré</t>
  </si>
  <si>
    <t>Sommeliers</t>
  </si>
  <si>
    <t>AMBULANCES OCEANE (OCEANE AMBULANCES) (à vérifier)</t>
  </si>
  <si>
    <t>hb5z9@accor.com</t>
  </si>
  <si>
    <t>Association des Sommeliers de Bretagne (UDSF)</t>
  </si>
  <si>
    <t>02 40 83 30 30</t>
  </si>
  <si>
    <t>Gault Millau,Michelin | email partagé avec: Le Bistrot de l'Océan</t>
  </si>
  <si>
    <t>Restaurant Doc Brown</t>
  </si>
  <si>
    <t>Association régionale</t>
  </si>
  <si>
    <t>Best Western Hôtel Graslin</t>
  </si>
  <si>
    <t>associationsommeliersbretagne@gmail.com</t>
  </si>
  <si>
    <t>restaurant.docbrown@outlook.com</t>
  </si>
  <si>
    <t>Hôtel 3★</t>
  </si>
  <si>
    <t>udsf-france.com/bretagne — relais vers tous les sommeliers pros de Bretagne (35/56)</t>
  </si>
  <si>
    <t>Restaurant du Château</t>
  </si>
  <si>
    <t>Romain Guillet</t>
  </si>
  <si>
    <t>Contact association</t>
  </si>
  <si>
    <t>info@hotel-graslin.com</t>
  </si>
  <si>
    <t>ngiraudet64@orange.fr</t>
  </si>
  <si>
    <t>rguillet407@orange.fr</t>
  </si>
  <si>
    <t>=+33 2 40 69 72 91</t>
  </si>
  <si>
    <t>06 72 26 11 13</t>
  </si>
  <si>
    <t>Restaurant du Marché</t>
  </si>
  <si>
    <t>udsf-france.com/bretagne</t>
  </si>
  <si>
    <t>claudine.mouille0776@orange.fr</t>
  </si>
  <si>
    <t>02 40 83 12 12</t>
  </si>
  <si>
    <t>https://www.hotel-graslin.com</t>
  </si>
  <si>
    <t>Bar-Restaurant Chez Nous</t>
  </si>
  <si>
    <t>Asserac</t>
  </si>
  <si>
    <t>cheznous.penbe@gmail.com</t>
  </si>
  <si>
    <t>02 51 10 20 54</t>
  </si>
  <si>
    <t>L'Amour à la Plage</t>
  </si>
  <si>
    <t>lamouralaplage44@yahoo.com</t>
  </si>
  <si>
    <t>02 51 16 27 63</t>
  </si>
  <si>
    <t>Edouard Set</t>
  </si>
  <si>
    <t>Avessac</t>
  </si>
  <si>
    <t>44460</t>
  </si>
  <si>
    <t>contact@edouardset.com</t>
  </si>
  <si>
    <t>02 99 71 01 02</t>
  </si>
  <si>
    <t>La Guinguette de Painfaut</t>
  </si>
  <si>
    <t>bonjour@painfaut-avessac.fr</t>
  </si>
  <si>
    <t>La Trinquette</t>
  </si>
  <si>
    <t>Nadine Gaillard</t>
  </si>
  <si>
    <t>Présidente</t>
  </si>
  <si>
    <t>la.trinquette.avessac@gmail.com</t>
  </si>
  <si>
    <t>02 99 91 00 91</t>
  </si>
  <si>
    <t>Campanile</t>
  </si>
  <si>
    <t>ets-nadine-gaillard@orange.fr</t>
  </si>
  <si>
    <t>06 07 46 39 23</t>
  </si>
  <si>
    <t>Mister Masala</t>
  </si>
  <si>
    <t>nantes.centre.stjacques@campanile.fr</t>
  </si>
  <si>
    <t>mannufullpower@hotmail.com</t>
  </si>
  <si>
    <t>09 73 54 36 20</t>
  </si>
  <si>
    <t>=+33 2 72 65 65 65</t>
  </si>
  <si>
    <t>Association des Sommeliers du Val de Loire (UDSF)</t>
  </si>
  <si>
    <t>Christian Pechoutre (à vérifier)</t>
  </si>
  <si>
    <t>Crêperie Pom'Sarrasin</t>
  </si>
  <si>
    <t>Président</t>
  </si>
  <si>
    <t>Basse Goulaine</t>
  </si>
  <si>
    <t>Sainte-Gemmes-sur-Loire</t>
  </si>
  <si>
    <t>Ibis Styles Nantes Centre Place Graslin</t>
  </si>
  <si>
    <t>udsf.valdeloire@yahoo.fr</t>
  </si>
  <si>
    <t>pomsarrasin@gmail.com</t>
  </si>
  <si>
    <t>02 41 76 28 27</t>
  </si>
  <si>
    <t>02 28 21 16 12</t>
  </si>
  <si>
    <t>sommelier-france.org — relais sommeliers 44/49/53/85</t>
  </si>
  <si>
    <t xml:space="preserve">Mickael </t>
  </si>
  <si>
    <t>h8464@accor.com</t>
  </si>
  <si>
    <t>Mickael Poisson</t>
  </si>
  <si>
    <t>Médias</t>
  </si>
  <si>
    <t>=+33 2 40 48 79 76</t>
  </si>
  <si>
    <t>Presse Océan</t>
  </si>
  <si>
    <t>A TABLE</t>
  </si>
  <si>
    <t>Rédaction web</t>
  </si>
  <si>
    <t>Batz-Sur-Mer</t>
  </si>
  <si>
    <t>44740</t>
  </si>
  <si>
    <t>Ibis Styles Nantes Centre Place Royale</t>
  </si>
  <si>
    <t>redaction.web@presse-ocean.com</t>
  </si>
  <si>
    <t>chrisln2006@yahoo.fr</t>
  </si>
  <si>
    <t>06 77 16 98 05</t>
  </si>
  <si>
    <t>Quotidien Loire-Atlantique — email publié</t>
  </si>
  <si>
    <t>ibisstyles.nantes-royale@orange.fr</t>
  </si>
  <si>
    <t>Le Courrier de l'Ouest</t>
  </si>
  <si>
    <t>=+33 2 40 35 74 50</t>
  </si>
  <si>
    <t>Rédaction Angers</t>
  </si>
  <si>
    <t>http://www.ibis.com</t>
  </si>
  <si>
    <t>restaurantlaporrhais@orange.fr</t>
  </si>
  <si>
    <t>02 40 23 39 64</t>
  </si>
  <si>
    <t>redac.angers@courrier-ouest.com</t>
  </si>
  <si>
    <t>02 41 688 688</t>
  </si>
  <si>
    <t>Quotidien 49 — email publié</t>
  </si>
  <si>
    <t>La Cabana Saint-Michel</t>
  </si>
  <si>
    <t>sam.cappelier@gmail.com</t>
  </si>
  <si>
    <t>Secrétariat rédaction en chef</t>
  </si>
  <si>
    <t>06 41 17 29 19</t>
  </si>
  <si>
    <t>secretariat.redac-chef.angers@courrier-ouest.com</t>
  </si>
  <si>
    <t>La Petite Bouffe</t>
  </si>
  <si>
    <t>email publié</t>
  </si>
  <si>
    <t>mahetiphaine@yahoo.fr</t>
  </si>
  <si>
    <t>06 18 92 06 06</t>
  </si>
  <si>
    <t>PIZZERIA la Salina</t>
  </si>
  <si>
    <t>redaction.web@courrier-ouest.com</t>
  </si>
  <si>
    <t>mtrestosalina@gmail.com</t>
  </si>
  <si>
    <t>02 40 23 95 24</t>
  </si>
  <si>
    <t>Oldegar</t>
  </si>
  <si>
    <t>Restaurant Côté Mer</t>
  </si>
  <si>
    <t>Le Maine Libre</t>
  </si>
  <si>
    <t>hotel@oldegar-nantes.com</t>
  </si>
  <si>
    <t>benmessikh.dalila@gmail.com</t>
  </si>
  <si>
    <t>06 81 97 09 05</t>
  </si>
  <si>
    <t>=+33 2 40 74 39 90</t>
  </si>
  <si>
    <t>Rédaction</t>
  </si>
  <si>
    <t>Le Mans</t>
  </si>
  <si>
    <t>https://www.oldegar-nantes.com/</t>
  </si>
  <si>
    <t>RESTAURANT LE GRAND CERF</t>
  </si>
  <si>
    <t>redaction@maine-libre.com</t>
  </si>
  <si>
    <t>02 43 83 72 30</t>
  </si>
  <si>
    <t>makwo@msn.com</t>
  </si>
  <si>
    <t>Couvre aussi le nord Mayenne — email publié</t>
  </si>
  <si>
    <t>TERRASSE GOURMANDE ÉCLUSE LE TERRIER</t>
  </si>
  <si>
    <t>leterrier10@proton.me</t>
  </si>
  <si>
    <t>Le Télégramme</t>
  </si>
  <si>
    <t>Morlaix</t>
  </si>
  <si>
    <t>Le Commerce</t>
  </si>
  <si>
    <t>telegramme@telegramme.fr</t>
  </si>
  <si>
    <t>Quotidien Bretagne (35/56) — email publié</t>
  </si>
  <si>
    <t>Clubs œnologie</t>
  </si>
  <si>
    <t>lecommercebouaye@gmail.com</t>
  </si>
  <si>
    <t>Culture Oenologique</t>
  </si>
  <si>
    <t>+33 2 40 32 61 68</t>
  </si>
  <si>
    <t>Aline Le Moal</t>
  </si>
  <si>
    <t>Association (cours + dégustations)</t>
  </si>
  <si>
    <t>aline_le_moal@yahoo.fr</t>
  </si>
  <si>
    <t>Auberge des 3 Moulins de Boussay</t>
  </si>
  <si>
    <t>06 82 68 98 62</t>
  </si>
  <si>
    <t>Annuaire officiel Ville de Nantes</t>
  </si>
  <si>
    <t>Boussay</t>
  </si>
  <si>
    <t>Écoles hôtelières</t>
  </si>
  <si>
    <t>Lycée Nicolas Appert (hôtellerie-restauration)</t>
  </si>
  <si>
    <t>aubergedeboussay@orange.fr</t>
  </si>
  <si>
    <t>Xavier Cherbonnel</t>
  </si>
  <si>
    <t>Responsable secteur hôtelier</t>
  </si>
  <si>
    <t>02 40 57 89 72</t>
  </si>
  <si>
    <t>xavier.cherbonnel@ac-nantes.fr</t>
  </si>
  <si>
    <t>02 51 78 22 30</t>
  </si>
  <si>
    <t>ac-nantes.fr — contact nominatif publié</t>
  </si>
  <si>
    <t>Sure Hotel</t>
  </si>
  <si>
    <t>fred@chezfred.net</t>
  </si>
  <si>
    <t>06 74 97 03 37</t>
  </si>
  <si>
    <t>Lycée Sainte-Anne (hôtellerie)</t>
  </si>
  <si>
    <t>Secrétariat</t>
  </si>
  <si>
    <t>AUX QUATRE SAISONS</t>
  </si>
  <si>
    <t>info@surehotel-saintherblain.com</t>
  </si>
  <si>
    <t>ce.0440119R@ac-nantes.fr</t>
  </si>
  <si>
    <t>=+33 2 40 63 95 63</t>
  </si>
  <si>
    <t>02 40 17 12 00</t>
  </si>
  <si>
    <t>https://www.surehotel-saintherblain.com</t>
  </si>
  <si>
    <t>Annuaire éducation nationale</t>
  </si>
  <si>
    <t>arnaud.berry@wanadoo.fr</t>
  </si>
  <si>
    <t>02 40 56 50 41</t>
  </si>
  <si>
    <t>Lycée Olivier Guichard (hôtellerie)</t>
  </si>
  <si>
    <t>Le Prestige</t>
  </si>
  <si>
    <t>ce.0441550W@ac-nantes.fr</t>
  </si>
  <si>
    <t>02 40 24 93 10</t>
  </si>
  <si>
    <t>leprestige44470@gmail.com</t>
  </si>
  <si>
    <t>+33 9 88 09 66 68</t>
  </si>
  <si>
    <t>Lycée hôtelier Yvon Bourges</t>
  </si>
  <si>
    <t>Midi'n France</t>
  </si>
  <si>
    <t>ce.0350005r@ac-rennes.fr</t>
  </si>
  <si>
    <t>midinfrance@hotmail.fr</t>
  </si>
  <si>
    <t>02 99 16 80 80</t>
  </si>
  <si>
    <t>+33 2 51 71 63 44</t>
  </si>
  <si>
    <t>Annuaire éducation nationale — grande école hôtelière de l'Ouest</t>
  </si>
  <si>
    <t>Blue Factory</t>
  </si>
  <si>
    <t>Réseaux d'entreprises 44</t>
  </si>
  <si>
    <t>CCI Nantes St-Nazaire</t>
  </si>
  <si>
    <t>Relais vers les entreprises du 44 (clubs &amp; événements)</t>
  </si>
  <si>
    <t>staff@blue-factory-food.fr</t>
  </si>
  <si>
    <t>Saint-Nazaire / Nantes</t>
  </si>
  <si>
    <t>info.clients@nantesstnazaire.cci.fr</t>
  </si>
  <si>
    <t>02 40 44 60 00</t>
  </si>
  <si>
    <t>Guinguette La Huchette</t>
  </si>
  <si>
    <t>paysdelaloire.cci.fr — email publié</t>
  </si>
  <si>
    <t>event@jeremie-huchet-vigneron.fr</t>
  </si>
  <si>
    <t>06 73 56 99 34</t>
  </si>
  <si>
    <t>Medef Loire-Atlantique</t>
  </si>
  <si>
    <t>Réseau grandes et moyennes entreprises</t>
  </si>
  <si>
    <t>Le Chalet du Vignoble</t>
  </si>
  <si>
    <t>lechaletduvignoble@gmail.com</t>
  </si>
  <si>
    <t>contact@medef-44.fr</t>
  </si>
  <si>
    <t>BAR RESTAURANT LE FOIRAIL</t>
  </si>
  <si>
    <t>02 40 20 11 80</t>
  </si>
  <si>
    <t>medef-44.fr — email publié</t>
  </si>
  <si>
    <t>iacobaurelie@yahoo.fr</t>
  </si>
  <si>
    <t>CPME Loire-Atlantique</t>
  </si>
  <si>
    <t>Réseau PME/TPE (partage entre dirigeants)</t>
  </si>
  <si>
    <t>accueil@cpme44.fr</t>
  </si>
  <si>
    <t>02 40 52 12 12</t>
  </si>
  <si>
    <t>Château de Noirieux</t>
  </si>
  <si>
    <t>cpme44.fr — email publié</t>
  </si>
  <si>
    <t>Briollay</t>
  </si>
  <si>
    <t>Réseaux d'entreprises 49</t>
  </si>
  <si>
    <t>CCI Maine-et-Loire</t>
  </si>
  <si>
    <t>L'ÎLE AUX SAVEURS GOURMANDES</t>
  </si>
  <si>
    <t>noirieux@relaischateaux.com</t>
  </si>
  <si>
    <t>Relais vers les entreprises du 49 (clubs &amp; événements)</t>
  </si>
  <si>
    <t>=+33 2 41 42 50 05</t>
  </si>
  <si>
    <t>lileauxsaveursgourmandes@gmail.com</t>
  </si>
  <si>
    <t>https://www.chateaudenoirieux.com/</t>
  </si>
  <si>
    <t>info@maineetloire.cci.fr</t>
  </si>
  <si>
    <t>02 53 66 92 45</t>
  </si>
  <si>
    <t>LA BONNE EXCUSE</t>
  </si>
  <si>
    <t>Réseaux d'entreprises 53</t>
  </si>
  <si>
    <t>CCI Mayenne</t>
  </si>
  <si>
    <t>contact@restaurantlabonneexcuse.com</t>
  </si>
  <si>
    <t>Relais vers les entreprises du 53 (clubs &amp; événements)</t>
  </si>
  <si>
    <t>09 88 57 14 80</t>
  </si>
  <si>
    <t>CCI53-Accueil@mayenne.cci.fr</t>
  </si>
  <si>
    <t>LE CASTEL PUB</t>
  </si>
  <si>
    <t>castelpub44@gmail.com</t>
  </si>
  <si>
    <t>Réseaux d'entreprises 56</t>
  </si>
  <si>
    <t>CCI Morbihan</t>
  </si>
  <si>
    <t>02 40 81 01 54</t>
  </si>
  <si>
    <t>S. Giovannoni</t>
  </si>
  <si>
    <t>Relais vers les entreprises du 56 (clubs &amp; événements)</t>
  </si>
  <si>
    <t>LE NEWTOWN</t>
  </si>
  <si>
    <t>s.giovannoni@morbihan.cci.fr</t>
  </si>
  <si>
    <t>contact@brasserielenewtown.fr</t>
  </si>
  <si>
    <t>morbihan.cci.fr — email publié</t>
  </si>
  <si>
    <t>02 40 28 58 58</t>
  </si>
  <si>
    <t>Réseaux d'entreprises 85</t>
  </si>
  <si>
    <t>CCI Vendée</t>
  </si>
  <si>
    <t>RESTAURANT-GRILL AU VIEUX CASTEL</t>
  </si>
  <si>
    <t>Relais vers les entreprises du 85 (clubs &amp; événements)</t>
  </si>
  <si>
    <t>Ben Touch</t>
  </si>
  <si>
    <t>cci85-info-internet@vendee.cci.fr</t>
  </si>
  <si>
    <t>auvieuxcastel@orange.fr</t>
  </si>
  <si>
    <t>CHATEAU DE NOIRIEUX (CHATEAU DE NOIRIEUX) (C.D.N.)</t>
  </si>
  <si>
    <t>02 40 81 12 51</t>
  </si>
  <si>
    <t>vendee.cci.fr — email publié</t>
  </si>
  <si>
    <t>Presse</t>
  </si>
  <si>
    <t>Le Chaumes en Braise</t>
  </si>
  <si>
    <t>Ouest-France Vendée (Rédaction Les Herbiers)</t>
  </si>
  <si>
    <t>Anne D'Anjou</t>
  </si>
  <si>
    <t>Chaumes-En-Retz</t>
  </si>
  <si>
    <t>Rédaction locale</t>
  </si>
  <si>
    <t>44320</t>
  </si>
  <si>
    <t>Les Herbiers</t>
  </si>
  <si>
    <t>contact@lechaumesenbraise.fr</t>
  </si>
  <si>
    <t>redaction.lesherbiers@ouest-france.fr</t>
  </si>
  <si>
    <t>02 51 57 88 70</t>
  </si>
  <si>
    <t>02 51 74 96 16</t>
  </si>
  <si>
    <t>Presse quotidienne régionale, couverture 85 — vérifié directement</t>
  </si>
  <si>
    <t>contact@hotel-anneanjou.com</t>
  </si>
  <si>
    <t>=+332 41 67 30 30</t>
  </si>
  <si>
    <t>Le Jardin d'Arthus</t>
  </si>
  <si>
    <t>https://www.hotel-anneanjou.com/</t>
  </si>
  <si>
    <t>Le Journal du Pays Yonnais (Actu.fr)</t>
  </si>
  <si>
    <t>jardindarthus44@gmail.com</t>
  </si>
  <si>
    <t>02 40 82 96 56</t>
  </si>
  <si>
    <t>jpy@actu.fr</t>
  </si>
  <si>
    <t>02 51 24 25 10</t>
  </si>
  <si>
    <t>Le relais de Chéméré</t>
  </si>
  <si>
    <t>Presse hebdomadaire Vendée — email corrigé après vérification (celui proposé par Deep Research n'a pas été confirmé)</t>
  </si>
  <si>
    <t>frangeul.mt@gmail.com</t>
  </si>
  <si>
    <t>Lycée des Métiers Robert Buron</t>
  </si>
  <si>
    <t>09 81 64 90 69</t>
  </si>
  <si>
    <t>Les salons de la ferme aux oies</t>
  </si>
  <si>
    <t>ce.0530013b@ac-nantes.fr</t>
  </si>
  <si>
    <t>02 43 67 24 00</t>
  </si>
  <si>
    <t>Pôle formation hôtelière mayennais — vérifié (annuaire Éducation Nationale)</t>
  </si>
  <si>
    <t>fermeauxoies@orange.fr</t>
  </si>
  <si>
    <t>02 40 21 06 93</t>
  </si>
  <si>
    <t>Lycée Professionnel Saint-Louis</t>
  </si>
  <si>
    <t>Restaurant La Chaumière</t>
  </si>
  <si>
    <t>ce.0560101F@ac-rennes.fr</t>
  </si>
  <si>
    <t>la-chaumiere@outlook.fr</t>
  </si>
  <si>
    <t>02 97 84 13 84</t>
  </si>
  <si>
    <t>02 40 64 65 29</t>
  </si>
  <si>
    <t>Lycée hôtelier du Morbihan — email corrigé après vérification (celui proposé par Deep Research n'a pas été confirmé)</t>
  </si>
  <si>
    <t>Au pied de l'escalier</t>
  </si>
  <si>
    <t>Sylvain Millon</t>
  </si>
  <si>
    <t>Lycée Édouard Branly</t>
  </si>
  <si>
    <t>ANNE D'ANJOU (HOTEL ANNE D'ANJOU)</t>
  </si>
  <si>
    <t>aupieddelescalier@gmail.com</t>
  </si>
  <si>
    <t>0240318786</t>
  </si>
  <si>
    <t>ce.0850028u@ac-nantes.fr</t>
  </si>
  <si>
    <t>02 51 24 06 06</t>
  </si>
  <si>
    <t>Grand Hôtel de la Gare</t>
  </si>
  <si>
    <t>Hellcity</t>
  </si>
  <si>
    <t>Section hôtelière, restaurant d'application — vérifié (annuaire Éducation Nationale)</t>
  </si>
  <si>
    <t>contact@hellcity.fr</t>
  </si>
  <si>
    <t>+33 2 21812170</t>
  </si>
  <si>
    <t>info@hotel-angers.fr</t>
  </si>
  <si>
    <t>=+33 241884069</t>
  </si>
  <si>
    <t>La Villa Toto</t>
  </si>
  <si>
    <t>https://www.grandhoteldelagare-angers.com/</t>
  </si>
  <si>
    <t>chez.toto@orange.fr</t>
  </si>
  <si>
    <t>02 40 58 72 88</t>
  </si>
  <si>
    <t>Le Centr'Halles Café</t>
  </si>
  <si>
    <t>centrhall@orange.fr</t>
  </si>
  <si>
    <t>02 40 54 01 83</t>
  </si>
  <si>
    <t>Restaurant Court-circuit</t>
  </si>
  <si>
    <t>courtcircuit.clisson@gmail.com</t>
  </si>
  <si>
    <t>09 86 08 84 84</t>
  </si>
  <si>
    <t>Restaurant Hall Lacroix</t>
  </si>
  <si>
    <t>restaurant.le.hall.lacroix@gmail.com</t>
  </si>
  <si>
    <t>02 85 52 66 55</t>
  </si>
  <si>
    <t>PoséOdon</t>
  </si>
  <si>
    <t>Conquereuil</t>
  </si>
  <si>
    <t>guinguetteposeodon@gmail.com</t>
  </si>
  <si>
    <t>+33 6 14 39 73 10</t>
  </si>
  <si>
    <t>LA FORGE SAINT JOSEPH</t>
  </si>
  <si>
    <t>Corcoue-Sur-Logne</t>
  </si>
  <si>
    <t>laforgesaintjoseph@gmail.com</t>
  </si>
  <si>
    <t>02 40 73 61 69</t>
  </si>
  <si>
    <t>Au Fil de l'Ô</t>
  </si>
  <si>
    <t>aufildelo44360@orange.fr</t>
  </si>
  <si>
    <t>02 28 02 31 79</t>
  </si>
  <si>
    <t>Auberge du Tire Bouchon</t>
  </si>
  <si>
    <t>contact@aubergedutirebouchon.com</t>
  </si>
  <si>
    <t>02 40 96 54 39</t>
  </si>
  <si>
    <t>Le Tour du Chat, restaurant gourmand</t>
  </si>
  <si>
    <t>Crossac</t>
  </si>
  <si>
    <t>Hôtel de Champagne</t>
  </si>
  <si>
    <t>contact@lafermedublanchot.fr</t>
  </si>
  <si>
    <t>02 40 00 34 70</t>
  </si>
  <si>
    <t>AU COMPTOIR DES OGRES</t>
  </si>
  <si>
    <t>Derval</t>
  </si>
  <si>
    <t>info@hoteldechampagne.com</t>
  </si>
  <si>
    <t>44590</t>
  </si>
  <si>
    <t>=+33241257878</t>
  </si>
  <si>
    <t>au-comptoir-des-ogres@orange.fr</t>
  </si>
  <si>
    <t>02 28 04 37 89</t>
  </si>
  <si>
    <t>https://hoteldechampagne.com/</t>
  </si>
  <si>
    <t>LE PETIT ROBINSON</t>
  </si>
  <si>
    <t>lepetitrobinson@hotmail.com</t>
  </si>
  <si>
    <t>09 50 68 40 51</t>
  </si>
  <si>
    <t>Bar à bières de la Brasserie de la Divatte</t>
  </si>
  <si>
    <t>trompesourisbzh@outlook.fr</t>
  </si>
  <si>
    <t>02 40 33 38 94</t>
  </si>
  <si>
    <t>Guinguette de la pierre percée</t>
  </si>
  <si>
    <t>guinguette.la.pierre.percee@gmail.com</t>
  </si>
  <si>
    <t>06 22 27 24 87</t>
  </si>
  <si>
    <t>La Cabane à Ju</t>
  </si>
  <si>
    <t>contact@la-cabane-a-ju.fr</t>
  </si>
  <si>
    <t>Le Relax</t>
  </si>
  <si>
    <t>Ibis Styles Angers Centre Gare</t>
  </si>
  <si>
    <t>bechu.laurent66@gmail.com</t>
  </si>
  <si>
    <t>0240333370</t>
  </si>
  <si>
    <t>h6920@accor.com</t>
  </si>
  <si>
    <t>Restaurant Auberge du Val de Loire</t>
  </si>
  <si>
    <t>=+33 2 41 25 48 48</t>
  </si>
  <si>
    <t>https://all.accor.com/hotel/6920/index.fr.shtml</t>
  </si>
  <si>
    <t>aubergeduvaldeloire@yahoo.fr</t>
  </si>
  <si>
    <t>02 40 06 34 60</t>
  </si>
  <si>
    <t>Restaurant La Pierre Percée</t>
  </si>
  <si>
    <t>vicguil@hotmail.fr</t>
  </si>
  <si>
    <t>Restaurant Une Table avec Plaisir</t>
  </si>
  <si>
    <t>contact@unetableavecplaisir.fr</t>
  </si>
  <si>
    <t>06 36 21 45 98</t>
  </si>
  <si>
    <t>LA POMMERAIE</t>
  </si>
  <si>
    <t>Donges</t>
  </si>
  <si>
    <t>44480</t>
  </si>
  <si>
    <t>lapommeraie44480@gmail.com</t>
  </si>
  <si>
    <t>02 40 66 84 60</t>
  </si>
  <si>
    <t>AUBERGE LES TROIS CHÊNES</t>
  </si>
  <si>
    <t>Erbray</t>
  </si>
  <si>
    <t>poulainanthony0673@orange.fr</t>
  </si>
  <si>
    <t>02 40 55 57 96</t>
  </si>
  <si>
    <t>Le Domaine du Golf</t>
  </si>
  <si>
    <t>LA RE7</t>
  </si>
  <si>
    <t>info@domaine-golf-saumur.com</t>
  </si>
  <si>
    <t>restaurant44lare7@gmail.com</t>
  </si>
  <si>
    <t>=+33 2 41 53 40 40</t>
  </si>
  <si>
    <t>https://www.domaine-golf-saumur.com/</t>
  </si>
  <si>
    <t>L'ANCRE D'OR</t>
  </si>
  <si>
    <t>Frossay</t>
  </si>
  <si>
    <t>lancredor44@free.fr</t>
  </si>
  <si>
    <t>02 40 39 94 06</t>
  </si>
  <si>
    <t>L'OGRE BLEU</t>
  </si>
  <si>
    <t>ogrebleu@legendiaparc.com</t>
  </si>
  <si>
    <t>02 40 39 94 23</t>
  </si>
  <si>
    <t>LA CALE SAUVAGE</t>
  </si>
  <si>
    <t>camping@la-cale-sauvage.com</t>
  </si>
  <si>
    <t>02 40 39 45 64</t>
  </si>
  <si>
    <t>Auberge de la Madeleine</t>
  </si>
  <si>
    <t>contact@aubergedelamadeleine.fr</t>
  </si>
  <si>
    <t>09 61 62 03 92</t>
  </si>
  <si>
    <t>Restaurant Dare-Dare</t>
  </si>
  <si>
    <t>daredaregestion@gmail.com</t>
  </si>
  <si>
    <t>02 51 25 08 93</t>
  </si>
  <si>
    <t>Restaurant ESATCO Gétigné</t>
  </si>
  <si>
    <t>esatbiocat@adapei44.asso.fr</t>
  </si>
  <si>
    <t>02 40 54 01 99</t>
  </si>
  <si>
    <t>Restaurant Le Rouge Gorges</t>
  </si>
  <si>
    <t>Gorges</t>
  </si>
  <si>
    <t>Maison Tirel Guerin</t>
  </si>
  <si>
    <t>fabrice.roy16@orange.fr</t>
  </si>
  <si>
    <t>02 28 21 64 93</t>
  </si>
  <si>
    <t>resa@tirelguerin.com</t>
  </si>
  <si>
    <t>L'AUBERGE ALVERNE</t>
  </si>
  <si>
    <t>=+33 2 99 89 10 46</t>
  </si>
  <si>
    <t>Grand-Auverne</t>
  </si>
  <si>
    <t>44520</t>
  </si>
  <si>
    <t>https://www.domaine-du-limonay.com/fr/maison-tirel-guerin/</t>
  </si>
  <si>
    <t>l-auberge-alverne@orange.fr</t>
  </si>
  <si>
    <t>02 40 28 98 31</t>
  </si>
  <si>
    <t>RESTAURANT LE GRANDCHAMPENOIS</t>
  </si>
  <si>
    <t>Grandchamp-Des-Fontaines</t>
  </si>
  <si>
    <t>44119</t>
  </si>
  <si>
    <t>patrice.rabouin@wanadoo.fr</t>
  </si>
  <si>
    <t>02 40 77 14 13</t>
  </si>
  <si>
    <t>La Réserve des Convives</t>
  </si>
  <si>
    <t>Guenrouet</t>
  </si>
  <si>
    <t>44530</t>
  </si>
  <si>
    <t>contact@lareservedesconvives.fr</t>
  </si>
  <si>
    <t>02 40 79 86 84</t>
  </si>
  <si>
    <t>Bar-Tabac de la Mairie</t>
  </si>
  <si>
    <t>sncbarbier44350@orange.fr</t>
  </si>
  <si>
    <t>02 40 22 13 79</t>
  </si>
  <si>
    <t>Beer's Brothers</t>
  </si>
  <si>
    <t>beersbrothers44@gmail.com</t>
  </si>
  <si>
    <t>02 49 52 29 71</t>
  </si>
  <si>
    <t>Bikini</t>
  </si>
  <si>
    <t>contact@bikini.bzh</t>
  </si>
  <si>
    <t>02 40 24 45 94</t>
  </si>
  <si>
    <t>Altos Hôtel &amp; Spa</t>
  </si>
  <si>
    <t>Chez Clément</t>
  </si>
  <si>
    <t>l.p.g@free.fr</t>
  </si>
  <si>
    <t>02 40 45 57 92</t>
  </si>
  <si>
    <t>hotelaltos@orange.fr</t>
  </si>
  <si>
    <t>=+33 2 33 58 66 64</t>
  </si>
  <si>
    <t>Château de Villeneuve</t>
  </si>
  <si>
    <t>https://www.hotel-mont-saint-michel.com/</t>
  </si>
  <si>
    <t>reception@villeneuvechateau.fr</t>
  </si>
  <si>
    <t>09 87 77 51 69</t>
  </si>
  <si>
    <t>Hot Wok</t>
  </si>
  <si>
    <t>wangywang78@gmail.com</t>
  </si>
  <si>
    <t>02 40 22 20 31</t>
  </si>
  <si>
    <t>Inspirations d'Ici et d'Ailleurs</t>
  </si>
  <si>
    <t>inspirations.guerande@gmail.com</t>
  </si>
  <si>
    <t>02 40 62 09 89</t>
  </si>
  <si>
    <t>L'Agapé</t>
  </si>
  <si>
    <t>lagape.bistrotgourmand@orange.fr</t>
  </si>
  <si>
    <t>02 40 11 78 78</t>
  </si>
  <si>
    <t>La Brasserie du Centre</t>
  </si>
  <si>
    <t>nafcdc@gmail.com</t>
  </si>
  <si>
    <t>Brit Hôtel du Stade</t>
  </si>
  <si>
    <t>02 40 24 91 95</t>
  </si>
  <si>
    <t>La Cantine Villejames</t>
  </si>
  <si>
    <t>hoteldustade@brithotel.fr</t>
  </si>
  <si>
    <t>=+33 2 99 59 19 19</t>
  </si>
  <si>
    <t>dulary.barbara@neuf.fr</t>
  </si>
  <si>
    <t>http://hotel-rennes-stade.brithotel.fr/</t>
  </si>
  <si>
    <t>02 40 42 38 09</t>
  </si>
  <si>
    <t>La P'tite Franquette</t>
  </si>
  <si>
    <t>laptitefranquette@gmail.com</t>
  </si>
  <si>
    <t>09 83 82 44 42</t>
  </si>
  <si>
    <t>Le 7 Bar</t>
  </si>
  <si>
    <t>le7bar@live.fr</t>
  </si>
  <si>
    <t>02 40 42 97 84</t>
  </si>
  <si>
    <t>Le Ch'ti Breizh</t>
  </si>
  <si>
    <t>lechtibreizh44@gmail.com</t>
  </si>
  <si>
    <t>02 40 22 52 37</t>
  </si>
  <si>
    <t>Le Gout'thé</t>
  </si>
  <si>
    <t>toastthe@outlook.com</t>
  </si>
  <si>
    <t>02 53 19 42 29</t>
  </si>
  <si>
    <t>Le Mulon de Sainte-Anne</t>
  </si>
  <si>
    <t>ludovic.bertho0717@orange.fr</t>
  </si>
  <si>
    <t>02 40 62 01 91</t>
  </si>
  <si>
    <t>Hôtel Arvor</t>
  </si>
  <si>
    <t>Le Vieux Carillon</t>
  </si>
  <si>
    <t>contact@le-vieux-carillon.com</t>
  </si>
  <si>
    <t>02 40 24 20 65</t>
  </si>
  <si>
    <t>contact@hotelarvordinan.com</t>
  </si>
  <si>
    <t>=+33 2 96 39 21 22</t>
  </si>
  <si>
    <t>https://www.hotelarvordinan.com/</t>
  </si>
  <si>
    <t>borghesidenis6@gmail.com</t>
  </si>
  <si>
    <t>02 40 91 96 89</t>
  </si>
  <si>
    <t>Les 2 Marais</t>
  </si>
  <si>
    <t>creperie.les2marais@orange.fr</t>
  </si>
  <si>
    <t>02 51 73 95 17</t>
  </si>
  <si>
    <t>Morfales</t>
  </si>
  <si>
    <t>contact@morfales.com</t>
  </si>
  <si>
    <t>02 28 55 83 87</t>
  </si>
  <si>
    <t>PTIT-DEJ&amp;Co</t>
  </si>
  <si>
    <t>contact.ptitdejandco@gmail.com</t>
  </si>
  <si>
    <t>Restaurant - BON</t>
  </si>
  <si>
    <t>restobio.hbg@leshameauxbio.fr</t>
  </si>
  <si>
    <t>02 52 59 70 21</t>
  </si>
  <si>
    <t>Hôtel Gabriel</t>
  </si>
  <si>
    <t>Restaurant - P'tea Bonheur</t>
  </si>
  <si>
    <t>hotelgabriel@le-mont-saint-michel.com</t>
  </si>
  <si>
    <t>=+33 2 33 60 14 13</t>
  </si>
  <si>
    <t>ptea.bonheur@gmail.com</t>
  </si>
  <si>
    <t>02 40 24 88 94</t>
  </si>
  <si>
    <t>http://www.hotelgabriel-montsaintmichel.com</t>
  </si>
  <si>
    <t>Restaurant Chez papa</t>
  </si>
  <si>
    <t>chezpapa.guerande@gmail.com</t>
  </si>
  <si>
    <t>02 40 42 56 09</t>
  </si>
  <si>
    <t>Restaurant Le Club - Golf de Guérande</t>
  </si>
  <si>
    <t>accueil@golfdeguerande.com</t>
  </si>
  <si>
    <t>02 40 66 43 21</t>
  </si>
  <si>
    <t>Restaurant Les Terrasses</t>
  </si>
  <si>
    <t>lesterrasses.guerande@gmail.com</t>
  </si>
  <si>
    <t>Restaurant et bar tapas - Les copains d'amour</t>
  </si>
  <si>
    <t>copainsdamour@gmail.com</t>
  </si>
  <si>
    <t>02 40 42 63 79</t>
  </si>
  <si>
    <t>Restaurant-Self ESAT de Saillé</t>
  </si>
  <si>
    <t>accueil.saille@apeiouest44.fr</t>
  </si>
  <si>
    <t>02 40 15 10 25</t>
  </si>
  <si>
    <t>Victoire et Paloma</t>
  </si>
  <si>
    <t>victoireetpaloma@gmail.com</t>
  </si>
  <si>
    <t>Hôtel Ibis Styles</t>
  </si>
  <si>
    <t>Burger Modèle</t>
  </si>
  <si>
    <t>h5977@accor.com</t>
  </si>
  <si>
    <t>karine.dintzner@yahoo.fr</t>
  </si>
  <si>
    <t>=+33 2 96 39 46 15</t>
  </si>
  <si>
    <t>http://www.ibishotel.com</t>
  </si>
  <si>
    <t>Chez Monsieur Cochon</t>
  </si>
  <si>
    <t>chezmonsieurcochon@orange.fr</t>
  </si>
  <si>
    <t>02 40 88 99 85</t>
  </si>
  <si>
    <t>Damraz - Brasserie artisanale</t>
  </si>
  <si>
    <t>contact@damraz.fr</t>
  </si>
  <si>
    <t>09 75 76 96 05</t>
  </si>
  <si>
    <t>L'Ô Ben</t>
  </si>
  <si>
    <t>benj.roussel1@gmail.com</t>
  </si>
  <si>
    <t>09 88 51 64 20</t>
  </si>
  <si>
    <t>La Cabane à Mousse</t>
  </si>
  <si>
    <t>lacabaneamousse.herbignac@gmail.com</t>
  </si>
  <si>
    <t>07 60 21 77 18</t>
  </si>
  <si>
    <t>Hôtel de la Porte Saint-Malo</t>
  </si>
  <si>
    <t>Le Guéguen's Bar</t>
  </si>
  <si>
    <t>info@hotelportemalo.com</t>
  </si>
  <si>
    <t>sandra.jumel44@gmail.com</t>
  </si>
  <si>
    <t>02 40 15 00 96</t>
  </si>
  <si>
    <t>=+33 2 96 39 19 76</t>
  </si>
  <si>
    <t>https://hotelportemalo.com/fr</t>
  </si>
  <si>
    <t>Restaurant - La Bonne Source</t>
  </si>
  <si>
    <t>contact@restaurantlabonnesource.com</t>
  </si>
  <si>
    <t>02 40 22 27 90</t>
  </si>
  <si>
    <t>18e Amendement</t>
  </si>
  <si>
    <t>18amendement.heric@gmail.com</t>
  </si>
  <si>
    <t>L'Abreuvoir</t>
  </si>
  <si>
    <t>contact@restaurant-abreuvoir.fr</t>
  </si>
  <si>
    <t>02 40 57 63 81</t>
  </si>
  <si>
    <t>Emmanuelle et Marina</t>
  </si>
  <si>
    <t>Hôtel des Lices</t>
  </si>
  <si>
    <t>hotel.lices@wanadoo.fr</t>
  </si>
  <si>
    <t>=+33 2 99 79 14 81</t>
  </si>
  <si>
    <t>http://www.hotel-des-lices.com</t>
  </si>
  <si>
    <t>+39 COTÉ LOIRE</t>
  </si>
  <si>
    <t>Indre</t>
  </si>
  <si>
    <t>44610</t>
  </si>
  <si>
    <t>plus39indre@gmail.com</t>
  </si>
  <si>
    <t>Bella Riva</t>
  </si>
  <si>
    <t>bellarivanantes@gmail.com</t>
  </si>
  <si>
    <t>+33 2 28 26 33 73</t>
  </si>
  <si>
    <t>LE VER LUISANT</t>
  </si>
  <si>
    <t>leverluisant@outlook.fr</t>
  </si>
  <si>
    <t>Hôtel du Château</t>
  </si>
  <si>
    <t>02 53 97 50 96</t>
  </si>
  <si>
    <t>contact@hotelduchateau-dinan.com</t>
  </si>
  <si>
    <t>TAQUIN</t>
  </si>
  <si>
    <t>=+33 2 96 85 16 20</t>
  </si>
  <si>
    <t>https://www.hotelduchateau-dinan.com/</t>
  </si>
  <si>
    <t>taquindre@gmail.com</t>
  </si>
  <si>
    <t>02 40 86 01 47</t>
  </si>
  <si>
    <t>L'ÉMUE, LA GUINGUETTE SOLAIRE</t>
  </si>
  <si>
    <t>Isse</t>
  </si>
  <si>
    <t>cynthia@lemue.fr</t>
  </si>
  <si>
    <t>LA PILE D'ASSIETTES</t>
  </si>
  <si>
    <t>lapiledassiettes@laposte.net</t>
  </si>
  <si>
    <t>02 40 55 13 42</t>
  </si>
  <si>
    <t>Guinguette de Vioreau</t>
  </si>
  <si>
    <t>Joue-Sur-Erdre</t>
  </si>
  <si>
    <t>44440</t>
  </si>
  <si>
    <t>guinguette.asso.vioreau@gmail.com</t>
  </si>
  <si>
    <t>Le Café du Nord</t>
  </si>
  <si>
    <t>restaurantlecafedunord@gmail.com</t>
  </si>
  <si>
    <t>09 54 70 56 29</t>
  </si>
  <si>
    <t>14 Avenue</t>
  </si>
  <si>
    <t>rest14ave@orange.fr</t>
  </si>
  <si>
    <t>02 40 60 09 21</t>
  </si>
  <si>
    <t>Hôtel-spa Le Connétable</t>
  </si>
  <si>
    <t>Amorino - glacier - salon de thé</t>
  </si>
  <si>
    <t>labaule@amorino.com</t>
  </si>
  <si>
    <t>hotelconnetable@orange.fr</t>
  </si>
  <si>
    <t>09 75 95 50 92</t>
  </si>
  <si>
    <t>=+33 2 96 87 29 29</t>
  </si>
  <si>
    <t>http://www.leconnetabledinan.com/</t>
  </si>
  <si>
    <t>Au café gourmand</t>
  </si>
  <si>
    <t>guillaumedavidpierre@orange.fr</t>
  </si>
  <si>
    <t>02 40 60 06 79</t>
  </si>
  <si>
    <t>Balme</t>
  </si>
  <si>
    <t>labaule@balme.fr</t>
  </si>
  <si>
    <t>02 40 66 77 58</t>
  </si>
  <si>
    <t>Bar Le Tassigny</t>
  </si>
  <si>
    <t>tassigny68@gmail.com</t>
  </si>
  <si>
    <t>02 40 24 41 99</t>
  </si>
  <si>
    <t>Bar l'Alcyon</t>
  </si>
  <si>
    <t>Ibis</t>
  </si>
  <si>
    <t>info@alcyon-hotel.com</t>
  </si>
  <si>
    <t>02 40 60 19 37</t>
  </si>
  <si>
    <t>h3450@accor.com</t>
  </si>
  <si>
    <t>=+33 2 23 36 01 36</t>
  </si>
  <si>
    <t>Bo&amp;Mia - Cuisine du monde</t>
  </si>
  <si>
    <t>L'Ortega</t>
  </si>
  <si>
    <t>contact@bomia-hotel.com</t>
  </si>
  <si>
    <t>contact@hotel-ortega-rennes.fr</t>
  </si>
  <si>
    <t>Bris'Art Culinaire - Chef à domicile</t>
  </si>
  <si>
    <t>=+332 99 31 15 31</t>
  </si>
  <si>
    <t>https://hotel-ortega-rennes.fr</t>
  </si>
  <si>
    <t>bris.artculinaire@gmail.com</t>
  </si>
  <si>
    <t>02 85 95 94 57</t>
  </si>
  <si>
    <t>Cabane bauloise</t>
  </si>
  <si>
    <t>contact@lacabanebauloise.com</t>
  </si>
  <si>
    <t>02 40 42 01 01</t>
  </si>
  <si>
    <t>Chez Gabriel</t>
  </si>
  <si>
    <t>chezgabriel.labaule@gmail.com</t>
  </si>
  <si>
    <t>02 40 19 29 44</t>
  </si>
  <si>
    <t>Club de l'Océan - Restaurant</t>
  </si>
  <si>
    <t>clubdelocean@gmail.com</t>
  </si>
  <si>
    <t>La Chaussairie</t>
  </si>
  <si>
    <t>02 51 76 84 65</t>
  </si>
  <si>
    <t>contact@lachaussairie.com</t>
  </si>
  <si>
    <t>Des étoiles dans ma cocotte</t>
  </si>
  <si>
    <t>=+33 2 99411414</t>
  </si>
  <si>
    <t>http://www.hotel-de-la-chaussairie.com/</t>
  </si>
  <si>
    <t>desetoilesdansmacocotte@yahoo.com</t>
  </si>
  <si>
    <t>06 85 36 52 66</t>
  </si>
  <si>
    <t>El Chaco</t>
  </si>
  <si>
    <t>contact@elchaco.fr</t>
  </si>
  <si>
    <t>02 40 61 52 08</t>
  </si>
  <si>
    <t>L'écailleur</t>
  </si>
  <si>
    <t>lecailleurlabaule@gmail.com</t>
  </si>
  <si>
    <t>02 40 60 87 94</t>
  </si>
  <si>
    <t>La Brasserie du Golden Tulip</t>
  </si>
  <si>
    <t>reservation@goldentuliplabaule.com</t>
  </si>
  <si>
    <t>02 72 25 21 21</t>
  </si>
  <si>
    <t>La Ferme du Grand Clos</t>
  </si>
  <si>
    <t>Le Challonge</t>
  </si>
  <si>
    <t>lafermedugrandclos@gmail.com</t>
  </si>
  <si>
    <t>lechallonge@wanadoo.fr</t>
  </si>
  <si>
    <t>02 40 60 03 30</t>
  </si>
  <si>
    <t>=+33 2 96 87 16 30</t>
  </si>
  <si>
    <t>https://hotel-dinan.fr/</t>
  </si>
  <si>
    <t>La Tour de Pise</t>
  </si>
  <si>
    <t>tourdepise1@gmail.com</t>
  </si>
  <si>
    <t>02 40 24 61 23</t>
  </si>
  <si>
    <t>La Volière</t>
  </si>
  <si>
    <t>contact@lapalmeraie-labaule.fr</t>
  </si>
  <si>
    <t>02 51 10 58 51</t>
  </si>
  <si>
    <t>Lazuli</t>
  </si>
  <si>
    <t>bonjour@lazulilabaule.fr</t>
  </si>
  <si>
    <t>02 40 24 22 31</t>
  </si>
  <si>
    <t>Le 16 Art</t>
  </si>
  <si>
    <t>Le D'Avaugour</t>
  </si>
  <si>
    <t>le16artlabaule@gmail.com</t>
  </si>
  <si>
    <t>02 40 60 23 02</t>
  </si>
  <si>
    <t>contact@avaugourhotel.com</t>
  </si>
  <si>
    <t>Le Charlie's Corner</t>
  </si>
  <si>
    <t>=+33 2 96390749</t>
  </si>
  <si>
    <t>https://www.avaugourhotel.com/</t>
  </si>
  <si>
    <t>charliespub.labaule@gmail.com</t>
  </si>
  <si>
    <t>02 40 60 09 89</t>
  </si>
  <si>
    <t>Le Club de l'Etoile</t>
  </si>
  <si>
    <t>02 40 24 44 81</t>
  </si>
  <si>
    <t>Le Jazz Volant</t>
  </si>
  <si>
    <t>trancheventelj@yahoo.fr</t>
  </si>
  <si>
    <t>02 40 60 41 80</t>
  </si>
  <si>
    <t>02 40 23 14 14</t>
  </si>
  <si>
    <t>Le Mermoz</t>
  </si>
  <si>
    <t>jmg.guerin@gmail.com</t>
  </si>
  <si>
    <t>02 40 60 31 81</t>
  </si>
  <si>
    <t>Le Nemours</t>
  </si>
  <si>
    <t>Le Nuage</t>
  </si>
  <si>
    <t>reception@hotelnemours.com</t>
  </si>
  <si>
    <t>=+33 2 99 78 26 26</t>
  </si>
  <si>
    <t>jdemagalhaes@free.fr</t>
  </si>
  <si>
    <t>02 52 41 00 41</t>
  </si>
  <si>
    <t>https://lenemourshotel.com/</t>
  </si>
  <si>
    <t>Le Punch in Baule</t>
  </si>
  <si>
    <t>punch.in.baule@hotmail.fr</t>
  </si>
  <si>
    <t>02 40 60 06 96</t>
  </si>
  <si>
    <t>Le Quin'Cé</t>
  </si>
  <si>
    <t>contact@le-quince.com</t>
  </si>
  <si>
    <t>02 51 16 24 60</t>
  </si>
  <si>
    <t>Le Surcouf</t>
  </si>
  <si>
    <t>laurent.leroux3@free.fr</t>
  </si>
  <si>
    <t>02 40 60 02 44</t>
  </si>
  <si>
    <t>Le Tova</t>
  </si>
  <si>
    <t>02 40 24 20 21</t>
  </si>
  <si>
    <t>Malouinière Le Valmarin</t>
  </si>
  <si>
    <t>Les Albatros</t>
  </si>
  <si>
    <t>levalmarin@wanadoo.fr</t>
  </si>
  <si>
    <t>les12alba@gmail.com</t>
  </si>
  <si>
    <t>=+33 299819476</t>
  </si>
  <si>
    <t>02 44 73 90 08</t>
  </si>
  <si>
    <t>https://www.levalmarin.com/</t>
  </si>
  <si>
    <t>Les Canetons</t>
  </si>
  <si>
    <t>baultibo@orange.fr</t>
  </si>
  <si>
    <t>02 40 24 15 08</t>
  </si>
  <si>
    <t>Les Dîners Robinson - Nathalie Nectoux</t>
  </si>
  <si>
    <t>robinsonfood@orange.fr</t>
  </si>
  <si>
    <t>Les Pieds dans le sable</t>
  </si>
  <si>
    <t>lpdslabaule@gmail.com</t>
  </si>
  <si>
    <t>02 40 62 53 01</t>
  </si>
  <si>
    <t>Les Sablons</t>
  </si>
  <si>
    <t>fabienne.cibrario@orange.fr</t>
  </si>
  <si>
    <t>02 40 11 36 11</t>
  </si>
  <si>
    <t>Hôtel Bel Air</t>
  </si>
  <si>
    <t>Lorine HENNEBELLE - Cheffe nomade</t>
  </si>
  <si>
    <t>Crevin</t>
  </si>
  <si>
    <t>belair@hotelcrevin.com</t>
  </si>
  <si>
    <t>hello@lorinehennebelle.fr</t>
  </si>
  <si>
    <t>=+33 2 99 53 19 10</t>
  </si>
  <si>
    <t>https://www.belair-hotelcrevin.com/</t>
  </si>
  <si>
    <t>Louisa Pampa</t>
  </si>
  <si>
    <t>blinemilie@yahoo.fr</t>
  </si>
  <si>
    <t>02 40 66 99 44</t>
  </si>
  <si>
    <t>Mr Olive "Le Restaurant"</t>
  </si>
  <si>
    <t>contact@mr-olive.fr</t>
  </si>
  <si>
    <t>+33 6 70 65 68 12</t>
  </si>
  <si>
    <t>Popote et Jaja</t>
  </si>
  <si>
    <t>daniel.benaissa@hotmail.fr</t>
  </si>
  <si>
    <t>02 51 75 02 03</t>
  </si>
  <si>
    <t>Restaurant - Atlantic Beach</t>
  </si>
  <si>
    <t>09 63 64 67 38</t>
  </si>
  <si>
    <t>Restaurant - Barbarossa</t>
  </si>
  <si>
    <t>barbarossalabaule@gmail.com</t>
  </si>
  <si>
    <t>09 83 57 06 12</t>
  </si>
  <si>
    <t>Hôtel Anne de Bretagne</t>
  </si>
  <si>
    <t>Restaurant - Mamina</t>
  </si>
  <si>
    <t>hello@maminalabaule.com</t>
  </si>
  <si>
    <t>02 40 88 07 13</t>
  </si>
  <si>
    <t>hotelannedebretagne@wanadoo.fr</t>
  </si>
  <si>
    <t>=+33 2 99 31 49 49</t>
  </si>
  <si>
    <t>Restaurant La Villa</t>
  </si>
  <si>
    <t>https://www.hotel-rennes.com/</t>
  </si>
  <si>
    <t>com@brasserie-labaule.fr</t>
  </si>
  <si>
    <t>02 40 23 06 00</t>
  </si>
  <si>
    <t>Restaurant Le Club</t>
  </si>
  <si>
    <t>laurenceledrogo69@orange.fr</t>
  </si>
  <si>
    <t>02 40 42 01 62</t>
  </si>
  <si>
    <t>Restaurant Le Gulf Stream</t>
  </si>
  <si>
    <t>02 40 24 48 07</t>
  </si>
  <si>
    <t>Restaurant le B</t>
  </si>
  <si>
    <t>leb.labaule@gmail.com</t>
  </si>
  <si>
    <t>02 40 11 91 22</t>
  </si>
  <si>
    <t>Salmanazar</t>
  </si>
  <si>
    <t>salmanazarlabaule@gmail.com</t>
  </si>
  <si>
    <t>Ibis Styles</t>
  </si>
  <si>
    <t>09 86 36 15 99</t>
  </si>
  <si>
    <t>Ô Bar'Bu</t>
  </si>
  <si>
    <t>h0731@accor.com</t>
  </si>
  <si>
    <t>=+33 2 99 67 31 12</t>
  </si>
  <si>
    <t>dugast.loic@gmail.com</t>
  </si>
  <si>
    <t>02 40 23 74 27</t>
  </si>
  <si>
    <t>Brasserie L'Océanic</t>
  </si>
  <si>
    <t>44760</t>
  </si>
  <si>
    <t>Kyriad Rennes Centre</t>
  </si>
  <si>
    <t>contact@brasserie-oceanic.fr</t>
  </si>
  <si>
    <t>kyriad-rennes@wanadoo.fr</t>
  </si>
  <si>
    <t>=+33 2 99 30 25 80</t>
  </si>
  <si>
    <t>Côte et Baie</t>
  </si>
  <si>
    <t>https://www.kyriad.com/fr/hotels/kyriad-rennes-centre</t>
  </si>
  <si>
    <t>ledrogomathieu@orange.fr</t>
  </si>
  <si>
    <t>02 40 64 68 49</t>
  </si>
  <si>
    <t>L'Atelier</t>
  </si>
  <si>
    <t>contact@domaine-de-la-gressiere.com</t>
  </si>
  <si>
    <t>02 51 74 60 06</t>
  </si>
  <si>
    <t>L'ancrage gourmand</t>
  </si>
  <si>
    <t>lancragegourmand@gmail.com</t>
  </si>
  <si>
    <t>02 51 18 64 87</t>
  </si>
  <si>
    <t>Le Sud</t>
  </si>
  <si>
    <t>lesud-etienne@wanadoo.fr</t>
  </si>
  <si>
    <t>02 40 64 69 15</t>
  </si>
  <si>
    <t>Le café Foch</t>
  </si>
  <si>
    <t>lecafefoch@gmail.com</t>
  </si>
  <si>
    <t>02 40 82 70 13</t>
  </si>
  <si>
    <t>Le Magic Hall</t>
  </si>
  <si>
    <t>Les Tontons Nageurs</t>
  </si>
  <si>
    <t>lestontonsnageurs@gmail.com</t>
  </si>
  <si>
    <t>contact@lemagichall.com</t>
  </si>
  <si>
    <t>02 40 64 11 31</t>
  </si>
  <si>
    <t>=+33 2 99 66 21 83</t>
  </si>
  <si>
    <t>https://www.lemagichall.com/</t>
  </si>
  <si>
    <t>Restaurant Auberge des Brigands</t>
  </si>
  <si>
    <t>La Boissiere-Du-Dore</t>
  </si>
  <si>
    <t>airedejeufaireplay@gmail.com</t>
  </si>
  <si>
    <t>09 84 09 42 05</t>
  </si>
  <si>
    <t>Maramu</t>
  </si>
  <si>
    <t>marc.guehennec@maramu.fr</t>
  </si>
  <si>
    <t>06 18 02 35 59 / 02 40 54 89 00</t>
  </si>
  <si>
    <t>Marc Guennec</t>
  </si>
  <si>
    <t>LA CHOPE DES MARAIS</t>
  </si>
  <si>
    <t>La Chapelle-Des-Marais</t>
  </si>
  <si>
    <t>lachopedesmarais@gmail.com</t>
  </si>
  <si>
    <t>02 40 24 42 35</t>
  </si>
  <si>
    <t>LE COLIBRI</t>
  </si>
  <si>
    <t>Le Victoria</t>
  </si>
  <si>
    <t>bhr44.cdm@gmail.com</t>
  </si>
  <si>
    <t>02 40 19 22 05</t>
  </si>
  <si>
    <t>contacts@hotel-levictoria.com</t>
  </si>
  <si>
    <t>LE RELAIS GLAINOIS</t>
  </si>
  <si>
    <t>=+33 2 99 31 69 11</t>
  </si>
  <si>
    <t>La Chapelle-Glain</t>
  </si>
  <si>
    <t>https://www.hotel-levictoria.com/</t>
  </si>
  <si>
    <t>44670</t>
  </si>
  <si>
    <t>contact@lerelais-glainois.com</t>
  </si>
  <si>
    <t>02 40 55 50 42</t>
  </si>
  <si>
    <t>Le Grill du Gesvres</t>
  </si>
  <si>
    <t>legrilldugesvres.reservation@gmail.com</t>
  </si>
  <si>
    <t>+33 9 52 09 11 19</t>
  </si>
  <si>
    <t>Les Goûts d'Asie</t>
  </si>
  <si>
    <t>lesgoutsdasie4@gmail.com</t>
  </si>
  <si>
    <t>+33 2 40 29 37 48</t>
  </si>
  <si>
    <t>MI NOODLES</t>
  </si>
  <si>
    <t>mi.noodles44@gmail.com</t>
  </si>
  <si>
    <t>+33 2 40 77 28 70</t>
  </si>
  <si>
    <t>DU BEC O FOUET</t>
  </si>
  <si>
    <t>dubecofouet@gmail.com</t>
  </si>
  <si>
    <t>Mercure</t>
  </si>
  <si>
    <t>02 51 25 53 64</t>
  </si>
  <si>
    <t>LE TOURNEBRIDE</t>
  </si>
  <si>
    <t>h2027@accor.com</t>
  </si>
  <si>
    <t>=+33 2 99 79 12 36</t>
  </si>
  <si>
    <t>https://www.accorhotels.com/</t>
  </si>
  <si>
    <t>letournebride44@orange.fr</t>
  </si>
  <si>
    <t>02 40 65 90 13</t>
  </si>
  <si>
    <t>Restaurant Auberge Chez Pipette</t>
  </si>
  <si>
    <t>Restaurant la Table à Loulou</t>
  </si>
  <si>
    <t>latablealoulou@orange.fr</t>
  </si>
  <si>
    <t>02 28 03 14 04</t>
  </si>
  <si>
    <t>GUINGUETTE CHEZ MARIE ROSE</t>
  </si>
  <si>
    <t>La Limouziniere</t>
  </si>
  <si>
    <t>chrishugo.guinguette@gmail.com</t>
  </si>
  <si>
    <t>LES SOIREES AU MOULIN</t>
  </si>
  <si>
    <t>contact@vignoblemalidain.com</t>
  </si>
  <si>
    <t>Le Lion d'Or</t>
  </si>
  <si>
    <t>Saint-Brice-En-Coglès</t>
  </si>
  <si>
    <t>L'AQUARIUS</t>
  </si>
  <si>
    <t>La Meilleraye-De-Bretagne</t>
  </si>
  <si>
    <t>contact@hotel-leliondor.fr</t>
  </si>
  <si>
    <t>=+33 2 99 98 61 44</t>
  </si>
  <si>
    <t>laquariusrestaurant@gmail.com</t>
  </si>
  <si>
    <t>https://www.hotel-leliondor.fr/</t>
  </si>
  <si>
    <t>02 28 04 08 49</t>
  </si>
  <si>
    <t>La Cantine de l'îlot</t>
  </si>
  <si>
    <t>lacantinedelilot@gmail.com</t>
  </si>
  <si>
    <t>02 40 64 27 13</t>
  </si>
  <si>
    <t>La Casa del Papou</t>
  </si>
  <si>
    <t>melbellanger@yahoo.fr</t>
  </si>
  <si>
    <t>02 53 79 04 70</t>
  </si>
  <si>
    <t>La Guinguette de la Plaine</t>
  </si>
  <si>
    <t>laguinguettedelaplaine@gmail.com</t>
  </si>
  <si>
    <t>02 51 74 87 31</t>
  </si>
  <si>
    <t>La Tara</t>
  </si>
  <si>
    <t>restaurantlatara44@orange.fr</t>
  </si>
  <si>
    <t>02 40 82 59 87</t>
  </si>
  <si>
    <t>Le Panoramique de la Prée</t>
  </si>
  <si>
    <t>66panoramique@gmail.com</t>
  </si>
  <si>
    <t>+33 2 40 21 50 13</t>
  </si>
  <si>
    <t>rennes.stjacques@campanile.fr</t>
  </si>
  <si>
    <t>=+33 2 90 89 22 00</t>
  </si>
  <si>
    <t>Le Perroquet - La Renaudière</t>
  </si>
  <si>
    <t>http://www.campanile-rennes-sud-saint-jacques.fr</t>
  </si>
  <si>
    <t>client.roytraiteur@orange.fr</t>
  </si>
  <si>
    <t>Le Petit Mousse</t>
  </si>
  <si>
    <t>lepetitmousse44@sfr.fr</t>
  </si>
  <si>
    <t>02 40 21 09 04</t>
  </si>
  <si>
    <t>Le rayon de soleil</t>
  </si>
  <si>
    <t>philippeac@hotmail.fr</t>
  </si>
  <si>
    <t>02 40 21 50 18</t>
  </si>
  <si>
    <t>0'21</t>
  </si>
  <si>
    <t>al.fremonttt@live.fr</t>
  </si>
  <si>
    <t>Café du Port</t>
  </si>
  <si>
    <t>plemele@yahoo.fr</t>
  </si>
  <si>
    <t>02 40 23 30 63</t>
  </si>
  <si>
    <t>Cap 270</t>
  </si>
  <si>
    <t>aucap270@gmail.com</t>
  </si>
  <si>
    <t>Chez Yoyo</t>
  </si>
  <si>
    <t>chezyoyo.laturballe@gmail.com</t>
  </si>
  <si>
    <t>02 40 62 87 87</t>
  </si>
  <si>
    <t>Château de Lauvergnac</t>
  </si>
  <si>
    <t>Inter-Hotel Les 3 Marches</t>
  </si>
  <si>
    <t>contact@lauvergnac.fr</t>
  </si>
  <si>
    <t>02 51 73 03 03</t>
  </si>
  <si>
    <t>rennes.ouest@kyriaddirect.fr</t>
  </si>
  <si>
    <t>L'Océan des Glaces</t>
  </si>
  <si>
    <t>=+33299146465</t>
  </si>
  <si>
    <t>http://www.hotellestroismarches.com/</t>
  </si>
  <si>
    <t>oceandeglaces@gmail.com</t>
  </si>
  <si>
    <t>06 77 39 77 93</t>
  </si>
  <si>
    <t>L'Océane</t>
  </si>
  <si>
    <t>societes44.ferreira@gmail.com</t>
  </si>
  <si>
    <t>02 40 60 34 74</t>
  </si>
  <si>
    <t>La Cabane à huîtres de Pen Bron</t>
  </si>
  <si>
    <t>cabaneahuitresdepenbron@gmail.com</t>
  </si>
  <si>
    <t>06 52 97 74 44</t>
  </si>
  <si>
    <t>La Marie Galante</t>
  </si>
  <si>
    <t>lamarie-galante@orange.fr</t>
  </si>
  <si>
    <t>02 40 11 81 82</t>
  </si>
  <si>
    <t>Le Bistrot du Marché</t>
  </si>
  <si>
    <t>vignalflo@orange.fr</t>
  </si>
  <si>
    <t>02 51 10 05 53</t>
  </si>
  <si>
    <t>Restaurant - Atypique</t>
  </si>
  <si>
    <t>garystephan44@gmail.com</t>
  </si>
  <si>
    <t>02 40 62 82 81</t>
  </si>
  <si>
    <t>Restaurant P'tite Casquette</t>
  </si>
  <si>
    <t>Hôtel du Maine</t>
  </si>
  <si>
    <t>laptitecasquette@orange.fr</t>
  </si>
  <si>
    <t>02 40 23 30 82</t>
  </si>
  <si>
    <t>info@hoteldumainelaval.com</t>
  </si>
  <si>
    <t>The wave</t>
  </si>
  <si>
    <t>=+33 2 55 48 90 64</t>
  </si>
  <si>
    <t>thewave44@hotmail.com</t>
  </si>
  <si>
    <t>https://www.hoteldumainelaval.com/</t>
  </si>
  <si>
    <t>02 40 23 45 54</t>
  </si>
  <si>
    <t>Théa's</t>
  </si>
  <si>
    <t>theaslaturballe@gmail.com</t>
  </si>
  <si>
    <t>07 45 30 80 46</t>
  </si>
  <si>
    <t>LA TABLE DE PAPA</t>
  </si>
  <si>
    <t>Le Bignon</t>
  </si>
  <si>
    <t>latabledepapa@gmx.fr</t>
  </si>
  <si>
    <t>02 40 78 13 03</t>
  </si>
  <si>
    <t>LE PANORAMA</t>
  </si>
  <si>
    <t>contact@lepanorama.fr</t>
  </si>
  <si>
    <t>02 40 26 19 09</t>
  </si>
  <si>
    <t>LES GROS CAILLOUX HEAVY TAVERNE</t>
  </si>
  <si>
    <t>lebignon.lesgroscailloux@gmail.com</t>
  </si>
  <si>
    <t>06 85 40 33 16</t>
  </si>
  <si>
    <t>Club House du Golf de l'Île d'Or</t>
  </si>
  <si>
    <t>44850</t>
  </si>
  <si>
    <t>restaurantiledor@orange.fr</t>
  </si>
  <si>
    <t>+33 2 40 98 13 40</t>
  </si>
  <si>
    <t>hb0l9@accor.com</t>
  </si>
  <si>
    <t>=+33243671925</t>
  </si>
  <si>
    <t>sarl-gts.lestacade@wanadoo.fr</t>
  </si>
  <si>
    <t>https://all.accor.com/hotel/B0L9/index.fr.shtml</t>
  </si>
  <si>
    <t>02 40 23 03 77</t>
  </si>
  <si>
    <t>L'adresse</t>
  </si>
  <si>
    <t>contact@ladresselecroisic.com</t>
  </si>
  <si>
    <t>+33 2 44 73 93 60</t>
  </si>
  <si>
    <t>La Cale</t>
  </si>
  <si>
    <t>lacale.lecroisic@gmail.com</t>
  </si>
  <si>
    <t>02 40 23 06 23</t>
  </si>
  <si>
    <t>Le Bretagne</t>
  </si>
  <si>
    <t>lebretagne44@orange.fr</t>
  </si>
  <si>
    <t>02 40 23 00 51</t>
  </si>
  <si>
    <t>Le Paris</t>
  </si>
  <si>
    <t>parislecroisic@orange.fr</t>
  </si>
  <si>
    <t>02 40 23 15 19</t>
  </si>
  <si>
    <t>Brit Hotel</t>
  </si>
  <si>
    <t>Les Navigateurs</t>
  </si>
  <si>
    <t>navigateurs@orange.fr</t>
  </si>
  <si>
    <t>mayenne@brithotel.fr</t>
  </si>
  <si>
    <t>02 40 23 02 67</t>
  </si>
  <si>
    <t>=+33 2 43 00 71 71</t>
  </si>
  <si>
    <t>Restaurant La Criée</t>
  </si>
  <si>
    <t>https://hotel-mayenne.brithotel.fr/</t>
  </si>
  <si>
    <t>restaurantlacriee@gmail.com</t>
  </si>
  <si>
    <t>02 40 62 91 72</t>
  </si>
  <si>
    <t>Ô Jardin Secret</t>
  </si>
  <si>
    <t>+33 2 40 23 18 19</t>
  </si>
  <si>
    <t>Auberge du Port Domino</t>
  </si>
  <si>
    <t>Le Pallet</t>
  </si>
  <si>
    <t>contact@aubergeduportdomino.fr</t>
  </si>
  <si>
    <t>0954549234</t>
  </si>
  <si>
    <t>Chez Les Filles</t>
  </si>
  <si>
    <t>chezlesfilles44@orange.fr</t>
  </si>
  <si>
    <t>02 28 51 07 57</t>
  </si>
  <si>
    <t>Ailleurs - Westotel Le Pouliguen</t>
  </si>
  <si>
    <t>Cuisine traditionnelle | email partagé avec: RESTAURANT BRIT HOTEL</t>
  </si>
  <si>
    <t>02 55 40 00 00</t>
  </si>
  <si>
    <t>Bar moustache</t>
  </si>
  <si>
    <t>contact.barmoustache@gmail.com</t>
  </si>
  <si>
    <t>Boodabowl</t>
  </si>
  <si>
    <t>Hotel Villa Arthus-Bertrand</t>
  </si>
  <si>
    <t>contact@boodabowl.fr</t>
  </si>
  <si>
    <t>02 51 16 26 67</t>
  </si>
  <si>
    <t>Bulots Mayo</t>
  </si>
  <si>
    <t>contact@villa-arthusbertrand.com</t>
  </si>
  <si>
    <t>=+33251684181</t>
  </si>
  <si>
    <t>bulotsmayo@gmail.com</t>
  </si>
  <si>
    <t>02 51 75 40 55</t>
  </si>
  <si>
    <t>https://www.villa-arthusbertrand.com/</t>
  </si>
  <si>
    <t>Café de la promenade</t>
  </si>
  <si>
    <t>cafepromenade44@gmail.com</t>
  </si>
  <si>
    <t>02 40 24 27 07</t>
  </si>
  <si>
    <t>Chez Big Boy</t>
  </si>
  <si>
    <t>pascal.poli12@orange.fr</t>
  </si>
  <si>
    <t>09 53 91 03 39</t>
  </si>
  <si>
    <t>Fishbone</t>
  </si>
  <si>
    <t>contact@fishbonelepouliguen.fr</t>
  </si>
  <si>
    <t>02 40 42 31 84</t>
  </si>
  <si>
    <t>Fourchette &amp; Tire-bouchon Cheffe privée</t>
  </si>
  <si>
    <t>lebrun.isaure@gmail.com</t>
  </si>
  <si>
    <t>L'Opéra de la Mer</t>
  </si>
  <si>
    <t>clarissegdv@orange.fr</t>
  </si>
  <si>
    <t>02 40 62 31 03</t>
  </si>
  <si>
    <t>La Brasserie du Cottage</t>
  </si>
  <si>
    <t>brasserieducottage44@gmail.com</t>
  </si>
  <si>
    <t>09 73 50 51 30</t>
  </si>
  <si>
    <t>Punta Lara</t>
  </si>
  <si>
    <t>Le Mondés</t>
  </si>
  <si>
    <t>La Guérinière</t>
  </si>
  <si>
    <t>contact@hotel-pouliguen.com</t>
  </si>
  <si>
    <t>contact@hotelpuntalara.com</t>
  </si>
  <si>
    <t>02 40 11 72 01</t>
  </si>
  <si>
    <t>=+33 2 51 39 11 58</t>
  </si>
  <si>
    <t>https://www.hotelpuntalara.com/</t>
  </si>
  <si>
    <t>Le P'tit Franco Thaï</t>
  </si>
  <si>
    <t>emjo.sas@gmail.com</t>
  </si>
  <si>
    <t>09 87 14 56 87</t>
  </si>
  <si>
    <t>Les Mouettes Gourmandes</t>
  </si>
  <si>
    <t>lesmouettesgourmandes@gmail.com</t>
  </si>
  <si>
    <t>02 44 07 73 88</t>
  </si>
  <si>
    <t>Les Moussaillons</t>
  </si>
  <si>
    <t>moussaillons18@orange.fr</t>
  </si>
  <si>
    <t>02 40 42 23 79</t>
  </si>
  <si>
    <t>Noisettes et bergamote</t>
  </si>
  <si>
    <t>noisettes.et.bergamote@gmail.com</t>
  </si>
  <si>
    <t>09 81 88 19 98</t>
  </si>
  <si>
    <t>QG Beach</t>
  </si>
  <si>
    <t>Fabrice Brangeon &amp; Fidea - Fpl Nantes</t>
  </si>
  <si>
    <t>HOTEL PUNTA LARA (à vérifier)</t>
  </si>
  <si>
    <t>qgbeach@gmail.com</t>
  </si>
  <si>
    <t>02 40 53 29 09</t>
  </si>
  <si>
    <t>Restaurant Vue Mer</t>
  </si>
  <si>
    <t>Atlantic Hotel &amp; Spa</t>
  </si>
  <si>
    <t>restaurant@restaurant-vue-mer.com</t>
  </si>
  <si>
    <t>02 40 42 31 20</t>
  </si>
  <si>
    <t>L'ODELYSS</t>
  </si>
  <si>
    <t>=+332 51 95 37 71</t>
  </si>
  <si>
    <t>Lege</t>
  </si>
  <si>
    <t>https://www.atlantichotel.fr/</t>
  </si>
  <si>
    <t>lodelyss@orange.fr</t>
  </si>
  <si>
    <t>02 28 00 10 72</t>
  </si>
  <si>
    <t>LE PHOENIX</t>
  </si>
  <si>
    <t>lephoenix44650@orange.fr</t>
  </si>
  <si>
    <t>02 51 25 47 78</t>
  </si>
  <si>
    <t>La Fab'ric</t>
  </si>
  <si>
    <t>Les Moutiers-En-Retz</t>
  </si>
  <si>
    <t>restaurantlafabric@gmail.com</t>
  </si>
  <si>
    <t>02 40 64 26 53</t>
  </si>
  <si>
    <t>La Maison de l'Eclusier</t>
  </si>
  <si>
    <t>lamaisondeleclusier@gmail.com</t>
  </si>
  <si>
    <t>Kyriad</t>
  </si>
  <si>
    <t>02 40 21 10 27</t>
  </si>
  <si>
    <t>lessablesdolonne.plage@kyriadprestige.fr</t>
  </si>
  <si>
    <t>La P'tite Place</t>
  </si>
  <si>
    <t>=+33251320377</t>
  </si>
  <si>
    <t>guillou_jerome@hotmail.com</t>
  </si>
  <si>
    <t>https://prestige-les-sables-dolonne-plage.kyriad.com/fr-fr/</t>
  </si>
  <si>
    <t>Le Marina Bay</t>
  </si>
  <si>
    <t>lemarinabay@gmail.com</t>
  </si>
  <si>
    <t>02 40 64 68 93</t>
  </si>
  <si>
    <t>R'égal, bistrot inclusif</t>
  </si>
  <si>
    <t>bistrotregal@outlook.fr</t>
  </si>
  <si>
    <t>02 40 21 34 23</t>
  </si>
  <si>
    <t>GUINGUETTE LES PIPELETTES</t>
  </si>
  <si>
    <t>Les Touches</t>
  </si>
  <si>
    <t>restaurantlestouches@outlook.fr</t>
  </si>
  <si>
    <t>Au Palais d'Eric</t>
  </si>
  <si>
    <t>aupalaisderic@orange.fr</t>
  </si>
  <si>
    <t>Bar éphémère - Lign'Estival</t>
  </si>
  <si>
    <t>communication@ligne.fr</t>
  </si>
  <si>
    <t>Le 850</t>
  </si>
  <si>
    <t>Fleur de Sel</t>
  </si>
  <si>
    <t>restaurantle850@gmail.com</t>
  </si>
  <si>
    <t>02 28 30 04 43</t>
  </si>
  <si>
    <t>Noirmoutier-En-L'Île</t>
  </si>
  <si>
    <t>La Kerrouze</t>
  </si>
  <si>
    <t>contact@fleurdesel.fr</t>
  </si>
  <si>
    <t>Loireauxence</t>
  </si>
  <si>
    <t>=+33251390907</t>
  </si>
  <si>
    <t>44370</t>
  </si>
  <si>
    <t>https://fleurdesel.fr</t>
  </si>
  <si>
    <t>lorpin@orange.fr</t>
  </si>
  <si>
    <t>02 40 98 29 77</t>
  </si>
  <si>
    <t>L'AUBERGE ARMORICAINE</t>
  </si>
  <si>
    <t>Louisfert</t>
  </si>
  <si>
    <t>contact@auberge-armoricaine.fr</t>
  </si>
  <si>
    <t>02 28 04 07 67</t>
  </si>
  <si>
    <t>LA DILIGENCE</t>
  </si>
  <si>
    <t>Lusanger</t>
  </si>
  <si>
    <t>ladiligencelusanger@gmail.com</t>
  </si>
  <si>
    <t>02 40 07 83 07</t>
  </si>
  <si>
    <t>CHEZ JÉJÉ</t>
  </si>
  <si>
    <t>Machecoul-Saint-Meme</t>
  </si>
  <si>
    <t>Pierrick Marie Ghislain Wattecamps</t>
  </si>
  <si>
    <t>44270</t>
  </si>
  <si>
    <t>FLEUR DE SEL</t>
  </si>
  <si>
    <t>palvadeau44@hotmail.fr</t>
  </si>
  <si>
    <t>email partagé avec: L'Ételle</t>
  </si>
  <si>
    <t>Le Général d'Elbée</t>
  </si>
  <si>
    <t>lecafeduport44270@gmail.com</t>
  </si>
  <si>
    <t>+33 9 50 06 08 57</t>
  </si>
  <si>
    <t>contact@generaldelbee.fr</t>
  </si>
  <si>
    <t>=+33251391029</t>
  </si>
  <si>
    <t>LA GUINGUETTE DU GRAND ÉTANG</t>
  </si>
  <si>
    <t>https://www.generaldelbee.fr/</t>
  </si>
  <si>
    <t>laguinguette.dugrandetang@gmail.com</t>
  </si>
  <si>
    <t>La Bicyclette d'Argent</t>
  </si>
  <si>
    <t>contact@labicyclettedargent.fr</t>
  </si>
  <si>
    <t>+33 2 40 78 50 48</t>
  </si>
  <si>
    <t>Chez Nous</t>
  </si>
  <si>
    <t>cheznousmalville@gmail.com</t>
  </si>
  <si>
    <t>02 40 56 16 36</t>
  </si>
  <si>
    <t>Le Court Circuit</t>
  </si>
  <si>
    <t>contact@courtcircuit.cafe</t>
  </si>
  <si>
    <t>09 51 83 27 49</t>
  </si>
  <si>
    <t>AUBERGE DE LA ROCHE</t>
  </si>
  <si>
    <t>Marsac-Sur-Don</t>
  </si>
  <si>
    <t>Campanile - La Roche-sur-Yon</t>
  </si>
  <si>
    <t>aubergedelaroche@proton.me</t>
  </si>
  <si>
    <t>larochesuryon.centre.gare@campanile.fr</t>
  </si>
  <si>
    <t>aubergedelaroche@hotmail.com</t>
  </si>
  <si>
    <t>02 28 05 87 55</t>
  </si>
  <si>
    <t>=+33251483177</t>
  </si>
  <si>
    <t>La Halte du Château Rouge</t>
  </si>
  <si>
    <t>Mesanger</t>
  </si>
  <si>
    <t>44522</t>
  </si>
  <si>
    <t>Hôtel Des Dunes</t>
  </si>
  <si>
    <t>lahalteduchateaurouge@orange.fr</t>
  </si>
  <si>
    <t>02 40 83 21 25</t>
  </si>
  <si>
    <t>hoteldesdunesnoirmoutier@orange.fr</t>
  </si>
  <si>
    <t>Le 7 de Table</t>
  </si>
  <si>
    <t>=+33 2 51 39 82 77</t>
  </si>
  <si>
    <t>https://www.hoteldesdunesnoirmoutier.com/</t>
  </si>
  <si>
    <t>contact@le7detable.fr</t>
  </si>
  <si>
    <t>02 51 14 04 14</t>
  </si>
  <si>
    <t>Bar-Restaurant - Central Café</t>
  </si>
  <si>
    <t>centralcafe.mesquer@gmail.com</t>
  </si>
  <si>
    <t>06 11 84 98 41</t>
  </si>
  <si>
    <t>Crêperie - Saladerie La Yole</t>
  </si>
  <si>
    <t>layolecreperie@orange.fr</t>
  </si>
  <si>
    <t>02 51 10 27 67</t>
  </si>
  <si>
    <t>Restaurant - La Volière de Mesquer</t>
  </si>
  <si>
    <t>pigeonsdemesquer@orange.fr</t>
  </si>
  <si>
    <t>02 51 10 17 94</t>
  </si>
  <si>
    <t>Restaurant - Le Belem</t>
  </si>
  <si>
    <t>lebelemrestaurantpizzeria@orange.fr</t>
  </si>
  <si>
    <t>02 40 15 24 56</t>
  </si>
  <si>
    <t>Au Wok'n Rolls</t>
  </si>
  <si>
    <t>auwokandrolls@gmail.com</t>
  </si>
  <si>
    <t>02 40 91 94 52</t>
  </si>
  <si>
    <t>La Fontaine restaurant</t>
  </si>
  <si>
    <t>sabrinabizeul@orange.fr</t>
  </si>
  <si>
    <t>La suite pizzeria brasserie</t>
  </si>
  <si>
    <t>Hôtel Ibis la Roche sur Yon</t>
  </si>
  <si>
    <t>lasuite.missillac@gmail.com</t>
  </si>
  <si>
    <t>02 40 11 18 47</t>
  </si>
  <si>
    <t>h1081@accor.com</t>
  </si>
  <si>
    <t>=+33251378282</t>
  </si>
  <si>
    <t>BRASSERIE DU CENTRE</t>
  </si>
  <si>
    <t>https://smilydream.com/</t>
  </si>
  <si>
    <t>Montbert</t>
  </si>
  <si>
    <t>brasserieducentre44140@gmail.com</t>
  </si>
  <si>
    <t>02 51 77 10 69</t>
  </si>
  <si>
    <t>CAFÉ CHEZ NADINE</t>
  </si>
  <si>
    <t>Montoir-De-Bretagne</t>
  </si>
  <si>
    <t>44550</t>
  </si>
  <si>
    <t>nadinepicard15@gmail.com</t>
  </si>
  <si>
    <t>02 40 45 42 65</t>
  </si>
  <si>
    <t>CHEZ JULO</t>
  </si>
  <si>
    <t>Hôtel Mercure La Roche Sur Yon Centre</t>
  </si>
  <si>
    <t>chezjulo@orange.fr</t>
  </si>
  <si>
    <t>02 40 66 13 26</t>
  </si>
  <si>
    <t>h1552@accor.com</t>
  </si>
  <si>
    <t>=+33 2 51 46 28 00</t>
  </si>
  <si>
    <t>https://accorhotels.com</t>
  </si>
  <si>
    <t>Guinguette - La Guinch'ette</t>
  </si>
  <si>
    <t>Montrelais</t>
  </si>
  <si>
    <t>guinguetteloire@gmail.com</t>
  </si>
  <si>
    <t>Lucile Cuisine</t>
  </si>
  <si>
    <t>cuisine.lucile@gmail.com</t>
  </si>
  <si>
    <t>Restaurant la Petite Auberge</t>
  </si>
  <si>
    <t>Ancre marine</t>
  </si>
  <si>
    <t>lapetiteauberge44330@gmail.com</t>
  </si>
  <si>
    <t>ancremarine@ancremarine.com</t>
  </si>
  <si>
    <t>02 40 36 31 35</t>
  </si>
  <si>
    <t>=+33251390362</t>
  </si>
  <si>
    <t>https://www.ancremarine.com/</t>
  </si>
  <si>
    <t>Aristide</t>
  </si>
  <si>
    <t>contact@aristidenantes.com</t>
  </si>
  <si>
    <t>+33 2 49 62 25 06</t>
  </si>
  <si>
    <t>BATEAUX NANTAIS</t>
  </si>
  <si>
    <t>commercial@bateaux-nantais.fr</t>
  </si>
  <si>
    <t>02 40 14 51 14</t>
  </si>
  <si>
    <t>BELLE DE JOUR</t>
  </si>
  <si>
    <t>Hôtel Saint-Paul</t>
  </si>
  <si>
    <t>info@belledejour.org</t>
  </si>
  <si>
    <t>contact@hotel-saint-paul.net</t>
  </si>
  <si>
    <t>02 40 14 84 49</t>
  </si>
  <si>
    <t>=+33251390563</t>
  </si>
  <si>
    <t>https://www.hotel-saint-paul.net/</t>
  </si>
  <si>
    <t>CAFÉ BÉCOT</t>
  </si>
  <si>
    <t>hello@cafebecot.fr</t>
  </si>
  <si>
    <t>02 51 17 83 81</t>
  </si>
  <si>
    <t>Cuit Lu Cru</t>
  </si>
  <si>
    <t>cuitlucru@gmail.com</t>
  </si>
  <si>
    <t>+33 9 61 34 39 29</t>
  </si>
  <si>
    <t>FLAM'S NANTES</t>
  </si>
  <si>
    <t>nantes@flams.fr</t>
  </si>
  <si>
    <t>02 40 48 57 77</t>
  </si>
  <si>
    <t>La Chaize</t>
  </si>
  <si>
    <t>contact@lachaize.com</t>
  </si>
  <si>
    <t>LA GRANDE BARGE</t>
  </si>
  <si>
    <t>=+33251390462</t>
  </si>
  <si>
    <t>https://www.hotel-noirmoutier.com/</t>
  </si>
  <si>
    <t>contact@ledebutdesharicots.fr</t>
  </si>
  <si>
    <t>02 53 97 65 40</t>
  </si>
  <si>
    <t>LA MANDALE</t>
  </si>
  <si>
    <t>lamandalerestaurant@gmail.com</t>
  </si>
  <si>
    <t>02 28 44 21 34</t>
  </si>
  <si>
    <t>LA TERRASSE DU STADE</t>
  </si>
  <si>
    <t>laterrassedustade@gmail.com</t>
  </si>
  <si>
    <t>02 28 25 47 66</t>
  </si>
  <si>
    <t>LE CANCLAUX</t>
  </si>
  <si>
    <t>La Villa en l'Île</t>
  </si>
  <si>
    <t>contact@lecanclaux.com</t>
  </si>
  <si>
    <t>contact@lavillaenlile.com</t>
  </si>
  <si>
    <t>09 52 76 27 62</t>
  </si>
  <si>
    <t>=+33251390682</t>
  </si>
  <si>
    <t>https://www.lavillaenlile.com/</t>
  </si>
  <si>
    <t>LE PETIT BOUCOT</t>
  </si>
  <si>
    <t>contact@lepetitboucot.com</t>
  </si>
  <si>
    <t>02 53 97 04 04</t>
  </si>
  <si>
    <t>La Brasserie</t>
  </si>
  <si>
    <t>h3448@accor.com</t>
  </si>
  <si>
    <t>+33 2 40 35 30 30;+33 2 40 35 94 76</t>
  </si>
  <si>
    <t>La Cocotte Solidaire</t>
  </si>
  <si>
    <t>lacocottesolidaire@gmail.com</t>
  </si>
  <si>
    <t>+33 6 51 49 20 82</t>
  </si>
  <si>
    <t>Les Prateaux</t>
  </si>
  <si>
    <t>Le Café du Musée</t>
  </si>
  <si>
    <t>contact@cafedumusee.fr</t>
  </si>
  <si>
    <t>+33 2 51 12 93 09</t>
  </si>
  <si>
    <t>lesprateaux@orange.fr</t>
  </si>
  <si>
    <t>NEOPOLITAN PIZZERIA</t>
  </si>
  <si>
    <t>=+33251391252</t>
  </si>
  <si>
    <t>bonjour@neopolitan.fr</t>
  </si>
  <si>
    <t>https://www.lesprateaux.com/</t>
  </si>
  <si>
    <t>02 51 83 81 83</t>
  </si>
  <si>
    <t>Pépé Guinguette</t>
  </si>
  <si>
    <t>pepe.guinguette@gmail.com</t>
  </si>
  <si>
    <t>+33 2 40 35 17 00</t>
  </si>
  <si>
    <t>ROZA</t>
  </si>
  <si>
    <t>reservationroza@hotmail.com</t>
  </si>
  <si>
    <t>2 40 54 01 87</t>
  </si>
  <si>
    <t>RÉPUBLIQUE CÔTÉ JARDIN »</t>
  </si>
  <si>
    <t>resa@restaurantrepublique.com</t>
  </si>
  <si>
    <t>02 40 84 20 00</t>
  </si>
  <si>
    <t>Sépia</t>
  </si>
  <si>
    <t>contactersepia@gmail.com</t>
  </si>
  <si>
    <t>+33 2 51 82 71 59</t>
  </si>
  <si>
    <t>VACARME</t>
  </si>
  <si>
    <t>damian@vacarme-nantes.com</t>
  </si>
  <si>
    <t>09 87 34 18 82</t>
  </si>
  <si>
    <t>À Poêle Resto Bar</t>
  </si>
  <si>
    <t>restoschmidtandco@gmail.com</t>
  </si>
  <si>
    <t>+33 6 7205 4664</t>
  </si>
  <si>
    <t>Le P'Tit Tonneau</t>
  </si>
  <si>
    <t>sarlpatoche@gmail.com</t>
  </si>
  <si>
    <t>02 40 20 32 46</t>
  </si>
  <si>
    <t>Domaine de Rochevilaine</t>
  </si>
  <si>
    <t>Cop en Pâte</t>
  </si>
  <si>
    <t>domaine@domainerochevilaine.com</t>
  </si>
  <si>
    <t>lecoq.nantes@orange.fr</t>
  </si>
  <si>
    <t>02 40 20 09 50</t>
  </si>
  <si>
    <t>=+33297416161</t>
  </si>
  <si>
    <t>https://www.domainerochevilaine.com/fr/</t>
  </si>
  <si>
    <t>O'Deck</t>
  </si>
  <si>
    <t>eric@odeck.fr</t>
  </si>
  <si>
    <t>eric</t>
  </si>
  <si>
    <t>Bairoz</t>
  </si>
  <si>
    <t>bairoz.restaurant@gmail.com</t>
  </si>
  <si>
    <t>Jérome</t>
  </si>
  <si>
    <t>Thelma</t>
  </si>
  <si>
    <t>syl20bruneau@gmail.com</t>
  </si>
  <si>
    <t>Sylvin</t>
  </si>
  <si>
    <t>Emilien</t>
  </si>
  <si>
    <t>Pilgrim</t>
  </si>
  <si>
    <t>contact.pilgrimrestaurant@gmail.com</t>
  </si>
  <si>
    <t>Guillaume Drancy &amp; Compta Sud Societe D'Expertise Comptable Et De Comm</t>
  </si>
  <si>
    <t>DOMAINE DE ROCHEVILAINE</t>
  </si>
  <si>
    <t>les cadets</t>
  </si>
  <si>
    <t>Carnac Lodge &amp; Hotel</t>
  </si>
  <si>
    <t>contact@restaurantlescadets.fr</t>
  </si>
  <si>
    <t>contact@carnaclodge.com</t>
  </si>
  <si>
    <t>Tristant et Léna</t>
  </si>
  <si>
    <t>https://www.carnaclodge.com/</t>
  </si>
  <si>
    <t xml:space="preserve">02 40 75 53 05 </t>
  </si>
  <si>
    <t>Camille et Aymeric</t>
  </si>
  <si>
    <t>le clos du celier</t>
  </si>
  <si>
    <t>Le celier</t>
  </si>
  <si>
    <t>contact@restaurantleclosducellier.fr</t>
  </si>
  <si>
    <t>Mr Ciesielski</t>
  </si>
  <si>
    <t>La Cueilleuse</t>
  </si>
  <si>
    <t>lacueilleuse@gozmail.bzh</t>
  </si>
  <si>
    <t>+33 9 87 41 57 24</t>
  </si>
  <si>
    <t>RESTAURANT GARI GARETTE</t>
  </si>
  <si>
    <t>Hôtel Celtique</t>
  </si>
  <si>
    <t>garigarette@gmail.com</t>
  </si>
  <si>
    <t>02 40 72 20 34</t>
  </si>
  <si>
    <t>reservation@hotelceltique.com</t>
  </si>
  <si>
    <t>=+33 2 97 52 14 15</t>
  </si>
  <si>
    <t>RESTAURANT LE B M</t>
  </si>
  <si>
    <t>barrestaurant.bm@gmail.com</t>
  </si>
  <si>
    <t>02 51 12 47 13</t>
  </si>
  <si>
    <t>L'Hippocampe</t>
  </si>
  <si>
    <t>RESTAURANT LE BRETAGNE MAISON LORIN</t>
  </si>
  <si>
    <t>hotel-hippocampe@orange.fr</t>
  </si>
  <si>
    <t>contact@restaurantlorin.com</t>
  </si>
  <si>
    <t>02 40 72 21 95</t>
  </si>
  <si>
    <t>http://www.hotel-hippocampe.fr/</t>
  </si>
  <si>
    <t>TERRASSE GOURMANDE ÉCLUSE LA TINDIÈRE</t>
  </si>
  <si>
    <t>eclusedelatindiere@gmail.com</t>
  </si>
  <si>
    <t>RESTAURANT LES 3 MARCHANDS</t>
  </si>
  <si>
    <t>contact@les3marchands.fr</t>
  </si>
  <si>
    <t>02 40 79 28 47</t>
  </si>
  <si>
    <t>L'amour des mets</t>
  </si>
  <si>
    <t>restaurant.lamourdesmets@gmail.com</t>
  </si>
  <si>
    <t>+33 9 83 72 94 00</t>
  </si>
  <si>
    <t>TOUT EN RONDEUR</t>
  </si>
  <si>
    <t>terpaimboeuf@gmail.com</t>
  </si>
  <si>
    <t>09 67 19 91 31</t>
  </si>
  <si>
    <t>L'Auberge du Donneau</t>
  </si>
  <si>
    <t>La Marébaudière</t>
  </si>
  <si>
    <t>Pannece</t>
  </si>
  <si>
    <t>landfamily@orange.fr</t>
  </si>
  <si>
    <t>02 40 05 67 34</t>
  </si>
  <si>
    <t>contact@marebaudiere.com</t>
  </si>
  <si>
    <t>=+33 2 97 47 34 29</t>
  </si>
  <si>
    <t>RESTAURANT LE SAINT LAURENT</t>
  </si>
  <si>
    <t>https://www.marebaudiere.com/</t>
  </si>
  <si>
    <t>Petit-Mars</t>
  </si>
  <si>
    <t>resto@le-st-laurent.fr</t>
  </si>
  <si>
    <t>02 40 72 72 00</t>
  </si>
  <si>
    <t>RESTAURANT LES CUISINES DE MARIE</t>
  </si>
  <si>
    <t>lescuisinesdemarie.jb@gmail.com</t>
  </si>
  <si>
    <t>02 40 72 72 76</t>
  </si>
  <si>
    <t>Aux Six Sens</t>
  </si>
  <si>
    <t>Piriac-Sur-Mer</t>
  </si>
  <si>
    <t>mam691@hotmail.com</t>
  </si>
  <si>
    <t>02 40 19 07 95</t>
  </si>
  <si>
    <t>Bar-Restaurant La Plage</t>
  </si>
  <si>
    <t>hrpiriac@gmail.com</t>
  </si>
  <si>
    <t>02 40 15 50 38</t>
  </si>
  <si>
    <t>Brasserie La Vigie</t>
  </si>
  <si>
    <t>Celtic Hotel</t>
  </si>
  <si>
    <t>lavigiepiriac@gmail.com</t>
  </si>
  <si>
    <t>02 40 60 39 62</t>
  </si>
  <si>
    <t>Chez Grand-Mère</t>
  </si>
  <si>
    <t>info@celtic-hotel.fr</t>
  </si>
  <si>
    <t>=+33 2 97 24 05 37</t>
  </si>
  <si>
    <t>houlley.matthieu@neuf.fr</t>
  </si>
  <si>
    <t>02 40 23 51 40</t>
  </si>
  <si>
    <t>https://www.celtic-hotel.fr/</t>
  </si>
  <si>
    <t>Glacier Le Pôle Nord</t>
  </si>
  <si>
    <t>lepolenord.piriac@gmail.com</t>
  </si>
  <si>
    <t>+33 6 99 12 54 44</t>
  </si>
  <si>
    <t>Hôtel du Port</t>
  </si>
  <si>
    <t>hotelduport@orange.fr</t>
  </si>
  <si>
    <t>02 40 60 14 41</t>
  </si>
  <si>
    <t>La Guinguette Piriacaise</t>
  </si>
  <si>
    <t>alexandrinecaillot@orange.fr</t>
  </si>
  <si>
    <t>02 40 23 15 22</t>
  </si>
  <si>
    <t>Le 17 Bis</t>
  </si>
  <si>
    <t>le17bispiriac@orange.fr</t>
  </si>
  <si>
    <t>02 40 23 41 30</t>
  </si>
  <si>
    <t>Le Grand Large</t>
  </si>
  <si>
    <t>Le Castelli</t>
  </si>
  <si>
    <t>Bangor</t>
  </si>
  <si>
    <t>hoteldelaposte@gmail.com</t>
  </si>
  <si>
    <t>02 40 23 50 90</t>
  </si>
  <si>
    <t>contact@hotelgrandlarge.com</t>
  </si>
  <si>
    <t>=+33 2 97 31 80 92</t>
  </si>
  <si>
    <t>Le Vercoquin</t>
  </si>
  <si>
    <t>vercoquin2001@gmail.com</t>
  </si>
  <si>
    <t>09 54 46 62 53</t>
  </si>
  <si>
    <t>Terres de France - Domaine du Moulin Neuf</t>
  </si>
  <si>
    <t>Les Poissons Toqués</t>
  </si>
  <si>
    <t>Malansac</t>
  </si>
  <si>
    <t>info@domaine-moulin-neuf.com</t>
  </si>
  <si>
    <t>poissonstoques@gmail.com</t>
  </si>
  <si>
    <t>=+33 2 30 90 60 85</t>
  </si>
  <si>
    <t>02 40 23 53 63</t>
  </si>
  <si>
    <t>https://www.domaine-moulin-neuf.com/</t>
  </si>
  <si>
    <t>Pique-Assiette</t>
  </si>
  <si>
    <t>piqueassiettepiriac@gmail.com</t>
  </si>
  <si>
    <t>02 40 23 13 97</t>
  </si>
  <si>
    <t>Restaurant - Le Malyga</t>
  </si>
  <si>
    <t>celine.aubry14@orange.fr</t>
  </si>
  <si>
    <t>02 40 15 51 64</t>
  </si>
  <si>
    <t>L'atelier M</t>
  </si>
  <si>
    <t>Plesse</t>
  </si>
  <si>
    <t>44630</t>
  </si>
  <si>
    <t>restaurant.latelier.m@gmail.com</t>
  </si>
  <si>
    <t>La Guinguette de Buhel</t>
  </si>
  <si>
    <t>emiliehervo@hotmail.fr</t>
  </si>
  <si>
    <t>CAFE DE LA PLACE</t>
  </si>
  <si>
    <t>cafedelaplacecyril@gmail.com</t>
  </si>
  <si>
    <t>09 87 41 12 63</t>
  </si>
  <si>
    <t>COCOON</t>
  </si>
  <si>
    <t>Terres de France - Domaine de Kerioche</t>
  </si>
  <si>
    <t>Pluherlin</t>
  </si>
  <si>
    <t>restau.cocoon@gmail.com</t>
  </si>
  <si>
    <t>07 59 52 70 91</t>
  </si>
  <si>
    <t>info@domaine-kerioche.com</t>
  </si>
  <si>
    <t>=+33 2 90 73 46 27</t>
  </si>
  <si>
    <t>L'ESSENTIEL</t>
  </si>
  <si>
    <t>https://www.domaine-kerioche.com/</t>
  </si>
  <si>
    <t>resto.lessentielpsm@gmail.com</t>
  </si>
  <si>
    <t>02 40 32 75 44</t>
  </si>
  <si>
    <t>La Grande Bauche</t>
  </si>
  <si>
    <t>contact@lagrandebauche.com</t>
  </si>
  <si>
    <t>+33 2 85 67 00 01</t>
  </si>
  <si>
    <t>Auberge du Calvaire</t>
  </si>
  <si>
    <t>aubergeducalvaire@orange.fr</t>
  </si>
  <si>
    <t>02 40 01 61 65</t>
  </si>
  <si>
    <t>Chez La grenouille - Bar le Bélem</t>
  </si>
  <si>
    <t>patrice.gendron@gmail.com</t>
  </si>
  <si>
    <t>02 40 15 49 64</t>
  </si>
  <si>
    <t>Influence Restaurant - Esprit détente</t>
  </si>
  <si>
    <t>pierrick.pinard@wanadoo.fr</t>
  </si>
  <si>
    <t>02 40 45 08 16</t>
  </si>
  <si>
    <t>La Petite Sirène</t>
  </si>
  <si>
    <t>L'Estaminet</t>
  </si>
  <si>
    <t>Quiberon</t>
  </si>
  <si>
    <t>lestaminet.pontchateau@outlook.fr</t>
  </si>
  <si>
    <t>info@hotel-lapetitesirene.fr</t>
  </si>
  <si>
    <t>02 40 45 05 36</t>
  </si>
  <si>
    <t>=+33 2 97 50 17 34</t>
  </si>
  <si>
    <t>https://www.hotel-lapetitesirene.fr/</t>
  </si>
  <si>
    <t>La Table de l'Abbaye</t>
  </si>
  <si>
    <t>ct.tessier44@gmail.com</t>
  </si>
  <si>
    <t>02 40 15 61 72</t>
  </si>
  <si>
    <t>Le Relais de Beaulieu</t>
  </si>
  <si>
    <t>contact@relaisdebeaulieu.com</t>
  </si>
  <si>
    <t>02 40 01 60 58</t>
  </si>
  <si>
    <t>Street Food</t>
  </si>
  <si>
    <t>cedric.samsonoff@hotmail.fr</t>
  </si>
  <si>
    <t>02 51 76 43 31</t>
  </si>
  <si>
    <t>BRASSERIE LE GRAND BLEU</t>
  </si>
  <si>
    <t>leclairvoyant@orange.fr</t>
  </si>
  <si>
    <t>02 51 74 12 84</t>
  </si>
  <si>
    <t>COEUR ET CREME - BRASSERIE PORNICAISE</t>
  </si>
  <si>
    <t>coeuretcreme@orange.fr</t>
  </si>
  <si>
    <t>02 40 82 34 98</t>
  </si>
  <si>
    <t>Mercure Quiberon Hôtel and Spa</t>
  </si>
  <si>
    <t>contact@cafeduport-pornic.fr</t>
  </si>
  <si>
    <t>02 40 82 01 98</t>
  </si>
  <si>
    <t>h0909@accor.com</t>
  </si>
  <si>
    <t>=+33297304772</t>
  </si>
  <si>
    <t>https://all.accor.com/hotel/0909/index.fr.shtml</t>
  </si>
  <si>
    <t>Côte et Plaisance</t>
  </si>
  <si>
    <t>legecko@live.fr</t>
  </si>
  <si>
    <t>02 40 21 82 03</t>
  </si>
  <si>
    <t>L'Amphitrite</t>
  </si>
  <si>
    <t>amphitrite44@orange.fr</t>
  </si>
  <si>
    <t>02 40 82 05 11</t>
  </si>
  <si>
    <t>L'Ana'Gram</t>
  </si>
  <si>
    <t>anagram44@orange.fr</t>
  </si>
  <si>
    <t>02 40 82 51 25</t>
  </si>
  <si>
    <t>L'Autre Quai</t>
  </si>
  <si>
    <t>cl.gueguen@gmail.com</t>
  </si>
  <si>
    <t>02 40 82 15 57</t>
  </si>
  <si>
    <t>L'Escalier Gourmand</t>
  </si>
  <si>
    <t>escaliergourmand@gmail.com</t>
  </si>
  <si>
    <t>02 40 82 96 24</t>
  </si>
  <si>
    <t>LE BISTROT DES HALLES</t>
  </si>
  <si>
    <t>ericbacconnais@sfr.fr</t>
  </si>
  <si>
    <t>09 82 48 06 18</t>
  </si>
  <si>
    <t>LE JADE</t>
  </si>
  <si>
    <t>lejade44210@gmail.com</t>
  </si>
  <si>
    <t>02 51 18 79 04</t>
  </si>
  <si>
    <t>LE PONT DU CLION</t>
  </si>
  <si>
    <t>perverie.magali@orange.fr</t>
  </si>
  <si>
    <t>02 40 64 55 03</t>
  </si>
  <si>
    <t>La Casa 25</t>
  </si>
  <si>
    <t>restaurantlaboutinardiere@gmail.com</t>
  </si>
  <si>
    <t>02 40 82 07 06</t>
  </si>
  <si>
    <t>La Flambée</t>
  </si>
  <si>
    <t>laflambeepornic@gmail.com</t>
  </si>
  <si>
    <t>02 40 82 03 53</t>
  </si>
  <si>
    <t>La cocotte du chaudron</t>
  </si>
  <si>
    <t>lcdc.ksa@outlook.com</t>
  </si>
  <si>
    <t>02 51 74 25 14</t>
  </si>
  <si>
    <t>Le Braserô</t>
  </si>
  <si>
    <t>44580</t>
  </si>
  <si>
    <t>contact.lebrasero@gmail.com</t>
  </si>
  <si>
    <t>02 28 52 39 98</t>
  </si>
  <si>
    <t>Le Café du Château</t>
  </si>
  <si>
    <t>lecafeduchateau44@gmail.com</t>
  </si>
  <si>
    <t>+33 2 40 82 91 71</t>
  </si>
  <si>
    <t>Le Jardin de l'Olivier</t>
  </si>
  <si>
    <t>mc.revel@hotmail.fr</t>
  </si>
  <si>
    <t>02 51 74 69 30</t>
  </si>
  <si>
    <t>Le LauMas</t>
  </si>
  <si>
    <t>lelaumas@hotmail.com</t>
  </si>
  <si>
    <t>02 40 21 36 73</t>
  </si>
  <si>
    <t>Le Maoa</t>
  </si>
  <si>
    <t>restaurantmaoapornic@gmail.com</t>
  </si>
  <si>
    <t>02 51 74 13 07</t>
  </si>
  <si>
    <t>Le Papagayo</t>
  </si>
  <si>
    <t>dlticia@yahoo.fr</t>
  </si>
  <si>
    <t>06 30 48 27 12</t>
  </si>
  <si>
    <t>Le Patio du Fouquet</t>
  </si>
  <si>
    <t>lepatiodufouquet@gmail.com</t>
  </si>
  <si>
    <t>02 51 74 60 04</t>
  </si>
  <si>
    <t>Le Retz</t>
  </si>
  <si>
    <t>leretztorant@hotmail.fr</t>
  </si>
  <si>
    <t>02 40 82 19 78</t>
  </si>
  <si>
    <t>Le Selva</t>
  </si>
  <si>
    <t>lesproib@gmail.com</t>
  </si>
  <si>
    <t>09 71 37 81 56</t>
  </si>
  <si>
    <t>Le poisson rouge</t>
  </si>
  <si>
    <t>lepoissonrouge.pornic@gmail.com</t>
  </si>
  <si>
    <t>02 40 82 02 51</t>
  </si>
  <si>
    <t>Marius l'épicurien</t>
  </si>
  <si>
    <t>marius.pornic@gmail.com</t>
  </si>
  <si>
    <t>02 51 18 18 00</t>
  </si>
  <si>
    <t>Nos Belles Années</t>
  </si>
  <si>
    <t>restaurant.nba@gmail.com</t>
  </si>
  <si>
    <t>02 51 18 19 25</t>
  </si>
  <si>
    <t>QUAI 34 - Bar - Crêperie - Brasserie</t>
  </si>
  <si>
    <t>sarlquai34@gmail.com</t>
  </si>
  <si>
    <t>02 40 82 34 27</t>
  </si>
  <si>
    <t>RESTAURANT LA CHENAIE</t>
  </si>
  <si>
    <t>ambrosia.restaurant@gmail.com</t>
  </si>
  <si>
    <t>06 16 58 56 42</t>
  </si>
  <si>
    <t>Restaurant Bar - Le café du Château</t>
  </si>
  <si>
    <t>cauquilcorentin@gmail.com</t>
  </si>
  <si>
    <t>02 40 82 91 71</t>
  </si>
  <si>
    <t>Restaurant Le Cap Gourmand</t>
  </si>
  <si>
    <t>lecapgourmand1@gmail.com</t>
  </si>
  <si>
    <t>02 40 82 75 76</t>
  </si>
  <si>
    <t>Restaurant Le Trèfle - Casino de Pornic</t>
  </si>
  <si>
    <t>alementec@partouche.com</t>
  </si>
  <si>
    <t>02 40 82 26 87</t>
  </si>
  <si>
    <t>Restaurant Le Zagaya</t>
  </si>
  <si>
    <t>lezagayapornic@orange.fr</t>
  </si>
  <si>
    <t>02 40 82 18 18</t>
  </si>
  <si>
    <t>Restaurant Les Terrasses du Golf</t>
  </si>
  <si>
    <t>restaurant@golfdepornic.fr</t>
  </si>
  <si>
    <t>02 40 82 06 69</t>
  </si>
  <si>
    <t>Villa Noë</t>
  </si>
  <si>
    <t>villanoe@villanoe.fr</t>
  </si>
  <si>
    <t>02 40 82 34 56</t>
  </si>
  <si>
    <t>restaurant le Bernie Café</t>
  </si>
  <si>
    <t>berniecafeapornic@gmail.com</t>
  </si>
  <si>
    <t>02 40 82 25 35</t>
  </si>
  <si>
    <t>Ànatà</t>
  </si>
  <si>
    <t>contact.anata44@gmail.com</t>
  </si>
  <si>
    <t>+33 2 51 74 43 18</t>
  </si>
  <si>
    <t>Au P'tit Mousse</t>
  </si>
  <si>
    <t>elise44380@gmail.com</t>
  </si>
  <si>
    <t>02 40 15 29 29</t>
  </si>
  <si>
    <t>Au square Gourmand - Glacier</t>
  </si>
  <si>
    <t>ausquaregourmandpornichet@gmail.com</t>
  </si>
  <si>
    <t>Bahia Tikka</t>
  </si>
  <si>
    <t>jicquello.c@gmail.com</t>
  </si>
  <si>
    <t>02 40 62 17 02</t>
  </si>
  <si>
    <t>Banh Mi &amp; Co</t>
  </si>
  <si>
    <t>antoine.nguyen.h@gmail.com</t>
  </si>
  <si>
    <t>02 40 61 74 75</t>
  </si>
  <si>
    <t>Bières é chopes</t>
  </si>
  <si>
    <t>pornichet@bieres-et-chopes.fr</t>
  </si>
  <si>
    <t>09 80 34 64 04</t>
  </si>
  <si>
    <t>La Caravelle</t>
  </si>
  <si>
    <t>la.caravelle0085@orange.fr</t>
  </si>
  <si>
    <t>02 40 61 09 10</t>
  </si>
  <si>
    <t>La Galerne</t>
  </si>
  <si>
    <t>barlagalerne@orange.fr</t>
  </si>
  <si>
    <t>02 40 61 25 69</t>
  </si>
  <si>
    <t>La Petite Plage</t>
  </si>
  <si>
    <t>contact@la-petite-plage.com</t>
  </si>
  <si>
    <t>06 62 78 00 92</t>
  </si>
  <si>
    <t>restaurant@lareserve-pornichet.com</t>
  </si>
  <si>
    <t>02 52 41 05 06</t>
  </si>
  <si>
    <t>La Source des Lys</t>
  </si>
  <si>
    <t>lasourcedeslys@orange.fr</t>
  </si>
  <si>
    <t>02 51 76 39 77</t>
  </si>
  <si>
    <t>Le Bernard l'Hermite</t>
  </si>
  <si>
    <t>leblh44@gmail.com</t>
  </si>
  <si>
    <t>09 50 34 87 82</t>
  </si>
  <si>
    <t>lebretagnepornichet@yahoo.fr</t>
  </si>
  <si>
    <t>02 40 61 00 30</t>
  </si>
  <si>
    <t>Le Cap de Pornichet</t>
  </si>
  <si>
    <t>alain.dancoisne@yahoo.fr</t>
  </si>
  <si>
    <t>02 40 61 04 01</t>
  </si>
  <si>
    <t>Le Marina</t>
  </si>
  <si>
    <t>hotel.lemarina@wanadoo.fr</t>
  </si>
  <si>
    <t>02 40 61 02 66</t>
  </si>
  <si>
    <t>Le Ponant</t>
  </si>
  <si>
    <t>clerc.nicolas.fish@gmail.com</t>
  </si>
  <si>
    <t>02 40 15 27 43</t>
  </si>
  <si>
    <t>Le St-Valentin</t>
  </si>
  <si>
    <t>restaurant@lestvalentin.fr</t>
  </si>
  <si>
    <t>02 40 15 31 68</t>
  </si>
  <si>
    <t>Le Tibidabo</t>
  </si>
  <si>
    <t>letibidabo@gmail.com</t>
  </si>
  <si>
    <t>06 09 26 91 47</t>
  </si>
  <si>
    <t>Le Truc Muche</t>
  </si>
  <si>
    <t>letrucmuchepornichet@gmail.com</t>
  </si>
  <si>
    <t>02 40 61 60 61</t>
  </si>
  <si>
    <t>Le clos des Lices</t>
  </si>
  <si>
    <t>ysa.frey@hotmail.fr</t>
  </si>
  <si>
    <t>02 40 61 87 83</t>
  </si>
  <si>
    <t>Les Jardins de Juliette</t>
  </si>
  <si>
    <t>kerjuliette@hmc-hotels.com</t>
  </si>
  <si>
    <t>+33 2 40 11 22 00</t>
  </si>
  <si>
    <t>Les copains d'abord</t>
  </si>
  <si>
    <t>bistrot.lescopainsdabord.pro@gmail.com</t>
  </si>
  <si>
    <t>02 40 17 03 48</t>
  </si>
  <si>
    <t>Locco</t>
  </si>
  <si>
    <t>reservation@locco-bistrot-bar.com</t>
  </si>
  <si>
    <t>02 28 55 81 64</t>
  </si>
  <si>
    <t>Nina à la plage</t>
  </si>
  <si>
    <t>nina_event@yahoo.fr</t>
  </si>
  <si>
    <t>02 40 00 91 91</t>
  </si>
  <si>
    <t>O'Briens Irish pub</t>
  </si>
  <si>
    <t>pornichetpub@gmail.com</t>
  </si>
  <si>
    <t>02 44 73 96 41</t>
  </si>
  <si>
    <t>Only Wine</t>
  </si>
  <si>
    <t>contact@only-wine.fr</t>
  </si>
  <si>
    <t>09 75 55 61 05</t>
  </si>
  <si>
    <t>Pornichet Fish &amp; Chips</t>
  </si>
  <si>
    <t>fish.chipsfrance01@gmail.com</t>
  </si>
  <si>
    <t>02 72 27 48 63</t>
  </si>
  <si>
    <t>Rest'O Bel Air</t>
  </si>
  <si>
    <t>lwingtans20@gmail.com</t>
  </si>
  <si>
    <t>0240618059</t>
  </si>
  <si>
    <t>Restaurant du Casino</t>
  </si>
  <si>
    <t>lgosselin@partouche.com</t>
  </si>
  <si>
    <t>02 40 61 05 48</t>
  </si>
  <si>
    <t>Restaurant du château des Tourelles</t>
  </si>
  <si>
    <t>restaurant-tourelles@relaisthalasso.com</t>
  </si>
  <si>
    <t>02 28 55 05 64</t>
  </si>
  <si>
    <t>The Public House</t>
  </si>
  <si>
    <t>wallispacha@hotmail.com</t>
  </si>
  <si>
    <t>02 28 55 81 62</t>
  </si>
  <si>
    <t>L'Auberge du Pays de Retz</t>
  </si>
  <si>
    <t>Port-Saint-Pere</t>
  </si>
  <si>
    <t>44710</t>
  </si>
  <si>
    <t>contact@aubergedupaysderetz.fr</t>
  </si>
  <si>
    <t>02 40 04 84 84</t>
  </si>
  <si>
    <t>Le Cata-Marrant</t>
  </si>
  <si>
    <t>Prefailles</t>
  </si>
  <si>
    <t>jacky-porcher@orange.fr</t>
  </si>
  <si>
    <t>02 40 21 64 60</t>
  </si>
  <si>
    <t>Le Centre</t>
  </si>
  <si>
    <t>lecentre.prefailles@gmail.com</t>
  </si>
  <si>
    <t>02 40 21 64 98</t>
  </si>
  <si>
    <t>Le Saint-Gildas</t>
  </si>
  <si>
    <t>stgildas@orange.fr</t>
  </si>
  <si>
    <t>02 40 21 66 99</t>
  </si>
  <si>
    <t>Restaurant La Flottille</t>
  </si>
  <si>
    <t>reservation@lecalluna.com</t>
  </si>
  <si>
    <t>02 40 21 61 18</t>
  </si>
  <si>
    <t>RESTAURANT UN RÊVE D'ENFANT</t>
  </si>
  <si>
    <t>Puceul</t>
  </si>
  <si>
    <t>contact@unrevedenfant.fr</t>
  </si>
  <si>
    <t>02 40 79 52 65</t>
  </si>
  <si>
    <t>La Table d'Auguste</t>
  </si>
  <si>
    <t>Quilly</t>
  </si>
  <si>
    <t>contact@espace-quilly.com</t>
  </si>
  <si>
    <t>02 40 88 12 12</t>
  </si>
  <si>
    <t>LE CORALY</t>
  </si>
  <si>
    <t>Reze</t>
  </si>
  <si>
    <t>restaurant_lecoraly@outlook.fr</t>
  </si>
  <si>
    <t>02 40 05 15 37</t>
  </si>
  <si>
    <t>L'Orangerie</t>
  </si>
  <si>
    <t>renaudmarie44@gmail.com</t>
  </si>
  <si>
    <t>02 40 02 81 52</t>
  </si>
  <si>
    <t>BCB Bistrot / sarl Babonneau</t>
  </si>
  <si>
    <t>bbabonneau@gmail.com</t>
  </si>
  <si>
    <t>09 83 02 81 65</t>
  </si>
  <si>
    <t>GUINGUETTE DES JANETTES</t>
  </si>
  <si>
    <t>Saffre</t>
  </si>
  <si>
    <t>laguinguettedesjanettes@gmail.com</t>
  </si>
  <si>
    <t>RESTAURANT LE CHEVAL NOIR</t>
  </si>
  <si>
    <t>restaurantlechevalnoir@orange.fr</t>
  </si>
  <si>
    <t>02 40 77 22 23</t>
  </si>
  <si>
    <t>LE SAINT-AUBIN</t>
  </si>
  <si>
    <t>Saint Aubin Des Chateaux</t>
  </si>
  <si>
    <t>vaigas@orange.fr</t>
  </si>
  <si>
    <t>02 40 28 40 41</t>
  </si>
  <si>
    <t>Le Bal Pop'</t>
  </si>
  <si>
    <t>Saint Herblain</t>
  </si>
  <si>
    <t>contact@lebalpop.fr</t>
  </si>
  <si>
    <t>+33 6 43 78 72 57</t>
  </si>
  <si>
    <t>MOÏA</t>
  </si>
  <si>
    <t>contact@lemoia.fr</t>
  </si>
  <si>
    <t>06 64 44 91 25</t>
  </si>
  <si>
    <t>angelina-le-nantec@orange.fr</t>
  </si>
  <si>
    <t>LA LOGE BRIÉRONNE</t>
  </si>
  <si>
    <t>Saint-Andre-Des-Eaux</t>
  </si>
  <si>
    <t>44117</t>
  </si>
  <si>
    <t>lalogebrieronne@orange.fr</t>
  </si>
  <si>
    <t>02 51 10 60 89</t>
  </si>
  <si>
    <t>LE HAUT MARLAND</t>
  </si>
  <si>
    <t>byloulous@orange.fr</t>
  </si>
  <si>
    <t>0228558480</t>
  </si>
  <si>
    <t>RESTAURANT DU GOLF INTERNATIONAL BARRIÈRE LA BAULE</t>
  </si>
  <si>
    <t>accueil-golflabaule@groupebarriere.com</t>
  </si>
  <si>
    <t>02 40 60 46 18</t>
  </si>
  <si>
    <t>THE PEAT</t>
  </si>
  <si>
    <t>the.peat.44@gmail.com</t>
  </si>
  <si>
    <t>02 40 17 05 16</t>
  </si>
  <si>
    <t>CÔTES &amp; DUNES</t>
  </si>
  <si>
    <t>cotesetdunes@free.fr</t>
  </si>
  <si>
    <t>CÔTES &amp; GOURMET</t>
  </si>
  <si>
    <t>boucherie.brun@hotmail.fr</t>
  </si>
  <si>
    <t>02 40 27 20 27</t>
  </si>
  <si>
    <t>FOLIE GLACÉE</t>
  </si>
  <si>
    <t>contact@folieglacee.com</t>
  </si>
  <si>
    <t>GABRIELE PIZZABAR</t>
  </si>
  <si>
    <t>gabriele.pizzabar@gmail.com</t>
  </si>
  <si>
    <t>L'ABRI-CÔTIER</t>
  </si>
  <si>
    <t>prono.didier@orange.fr</t>
  </si>
  <si>
    <t>02 40 27 40 68</t>
  </si>
  <si>
    <t>L'ENTR'ACTE</t>
  </si>
  <si>
    <t>chezlaurette44250@hotmail.com</t>
  </si>
  <si>
    <t>02 40 27 43 31</t>
  </si>
  <si>
    <t>L'OLIVIER</t>
  </si>
  <si>
    <t>lolivier.vbh@gmail.com</t>
  </si>
  <si>
    <t>LA CABANE DES PINS</t>
  </si>
  <si>
    <t>epaillard.justin@laposte.net</t>
  </si>
  <si>
    <t>06 71 00 71 26</t>
  </si>
  <si>
    <t>LA PLAGE</t>
  </si>
  <si>
    <t>natachahub@yahoo.fr</t>
  </si>
  <si>
    <t>07 69 07 34 08</t>
  </si>
  <si>
    <t>LA POTINIÈRE</t>
  </si>
  <si>
    <t>lapotiniereaudionarmelle@gmail.com</t>
  </si>
  <si>
    <t>02 40 27 23 36</t>
  </si>
  <si>
    <t>LA TOUR DE PIZZ'</t>
  </si>
  <si>
    <t>tourdepizz44@gmail.com</t>
  </si>
  <si>
    <t>02 28 53 05 79</t>
  </si>
  <si>
    <t>LA TUILE ROMAINE</t>
  </si>
  <si>
    <t>lagalereromaine@orange.fr</t>
  </si>
  <si>
    <t>02 40 27 25 15</t>
  </si>
  <si>
    <t>LA VILLA ROSE MARIE</t>
  </si>
  <si>
    <t>reservation@lavillarosemarie.com</t>
  </si>
  <si>
    <t>02 40 27 20 45</t>
  </si>
  <si>
    <t>LA WALKYRIE</t>
  </si>
  <si>
    <t>satewalkyrie@gmail.com</t>
  </si>
  <si>
    <t>02 40 27 37 87</t>
  </si>
  <si>
    <t>LE 57</t>
  </si>
  <si>
    <t>camping@lefief.com</t>
  </si>
  <si>
    <t>02 40 27 75 90</t>
  </si>
  <si>
    <t>LE BISTRO DE L'OCÉAN</t>
  </si>
  <si>
    <t>lebistrodelocean@gmail.com</t>
  </si>
  <si>
    <t>02 40 39 99 60</t>
  </si>
  <si>
    <t>LE BLÉ NOIR</t>
  </si>
  <si>
    <t>lucledornat@gmail.com</t>
  </si>
  <si>
    <t>09 79 09 87 86</t>
  </si>
  <si>
    <t>LE DÉBARCADÈRE</t>
  </si>
  <si>
    <t>lesupporter44@hotmail.fr</t>
  </si>
  <si>
    <t>02 40 27 20 53</t>
  </si>
  <si>
    <t>LE RITA</t>
  </si>
  <si>
    <t>rita@leclandesmamma.com</t>
  </si>
  <si>
    <t>07 88 61 31 67</t>
  </si>
  <si>
    <t>LE S DU PETIT TRIANON</t>
  </si>
  <si>
    <t>petittrianon@orange.fr</t>
  </si>
  <si>
    <t>02 40 27 22 16</t>
  </si>
  <si>
    <t>LES EMBRUNS DE L'OCÉAN</t>
  </si>
  <si>
    <t>thierrymary1966@orange.fr</t>
  </si>
  <si>
    <t>02 40 39 12 43</t>
  </si>
  <si>
    <t>LES PIAFS</t>
  </si>
  <si>
    <t>valentin.belhache@gmail.com</t>
  </si>
  <si>
    <t>02 40 27 23 38</t>
  </si>
  <si>
    <t>LILI BEACH CAFÉ</t>
  </si>
  <si>
    <t>contact@lilibeach.fr</t>
  </si>
  <si>
    <t>02 49 63 40 74</t>
  </si>
  <si>
    <t>MAELO</t>
  </si>
  <si>
    <t>contact@maelo-restaurant.com</t>
  </si>
  <si>
    <t>02 40 27 27 70</t>
  </si>
  <si>
    <t>MAISON FRADIN</t>
  </si>
  <si>
    <t>eurl.fradin@orange.fr</t>
  </si>
  <si>
    <t>MARGUERITE</t>
  </si>
  <si>
    <t>margueritesaintbrevin@gmail.com</t>
  </si>
  <si>
    <t>06 86 27 70 07</t>
  </si>
  <si>
    <t>MR PATATE</t>
  </si>
  <si>
    <t>mr.patate.concept@gmail.com</t>
  </si>
  <si>
    <t>06 86 83 32 33</t>
  </si>
  <si>
    <t>RESTAURANT DU CASINO LE CAP</t>
  </si>
  <si>
    <t>restaurant.stbrevin@joa.fr</t>
  </si>
  <si>
    <t>02 28 53 20 00</t>
  </si>
  <si>
    <t>WAVES CLUB</t>
  </si>
  <si>
    <t>wavesclub.saintbrevin@gmail.com</t>
  </si>
  <si>
    <t>06 11 46 50 13</t>
  </si>
  <si>
    <t>LA COLOMBIÈRE</t>
  </si>
  <si>
    <t>Saint-Colomban</t>
  </si>
  <si>
    <t>contact@restaurant-lacolombiere.fr</t>
  </si>
  <si>
    <t>02 40 31 96 93</t>
  </si>
  <si>
    <t>Triple B</t>
  </si>
  <si>
    <t>tripleb44360@orange.fr</t>
  </si>
  <si>
    <t>Le bistrot des arts</t>
  </si>
  <si>
    <t>Saint-Hilaire-De-Chaleons</t>
  </si>
  <si>
    <t>lebistrotdesarts44@gmail.com</t>
  </si>
  <si>
    <t>09 70 72 79 21</t>
  </si>
  <si>
    <t>LA PAILLOTE BRIERONNE</t>
  </si>
  <si>
    <t>44720</t>
  </si>
  <si>
    <t>contact@balade-en-briere.fr</t>
  </si>
  <si>
    <t>LE ROZ'O</t>
  </si>
  <si>
    <t>le-roz-o@orange.fr</t>
  </si>
  <si>
    <t>02 28 54 25 97</t>
  </si>
  <si>
    <t>Le Clémence</t>
  </si>
  <si>
    <t>restaurant.leclemence@gmail.com</t>
  </si>
  <si>
    <t>02 28 00 99 21</t>
  </si>
  <si>
    <t>Le Comptoir de Saint Julien</t>
  </si>
  <si>
    <t>contact@lecomptoir44.fr</t>
  </si>
  <si>
    <t>02 40 04 72 43</t>
  </si>
  <si>
    <t>Restaurant Le Grill de l'Europe</t>
  </si>
  <si>
    <t>virgi1404@orange.fr</t>
  </si>
  <si>
    <t>02 40 36 53 11</t>
  </si>
  <si>
    <t>Restaurant Le Terminus</t>
  </si>
  <si>
    <t>l3bts@bbox.fr</t>
  </si>
  <si>
    <t>02.40.54.19.57</t>
  </si>
  <si>
    <t>Restaurant le Buffet des Marais</t>
  </si>
  <si>
    <t>patrice.bierg@orange.fr</t>
  </si>
  <si>
    <t>02 40 36 83 46</t>
  </si>
  <si>
    <t>Resto d'la Cale</t>
  </si>
  <si>
    <t>lacale1928@gmail.com</t>
  </si>
  <si>
    <t>02 40 54 10 19</t>
  </si>
  <si>
    <t>Mr Bonifi</t>
  </si>
  <si>
    <t>LA TERRASSE DU LAC</t>
  </si>
  <si>
    <t>Saint-Lumine-De-Coutais</t>
  </si>
  <si>
    <t>laterrassedulac@hotmail.com</t>
  </si>
  <si>
    <t>06 20 56 31 99</t>
  </si>
  <si>
    <t>Auberge de Kerhinet</t>
  </si>
  <si>
    <t>ludovic.aubergedekerhinet@gmail.com</t>
  </si>
  <si>
    <t>02 40 91 32 36</t>
  </si>
  <si>
    <t>Bar Restaurant PMU Le 927</t>
  </si>
  <si>
    <t>hollane@live.fr</t>
  </si>
  <si>
    <t>02 40 91 30 85</t>
  </si>
  <si>
    <t>Café restaurant Aux quatre routes</t>
  </si>
  <si>
    <t>lesquatresroutes@gmail.com</t>
  </si>
  <si>
    <t>02 40 61 96 41</t>
  </si>
  <si>
    <t>Croque Brière</t>
  </si>
  <si>
    <t>faunebrieronne@free.fr</t>
  </si>
  <si>
    <t>02 40 91 48 09</t>
  </si>
  <si>
    <t>Gaëlic's Pub</t>
  </si>
  <si>
    <t>gaelicspub@orange.fr</t>
  </si>
  <si>
    <t>02 40 91 46 52</t>
  </si>
  <si>
    <t>Les Krapados Restaurant</t>
  </si>
  <si>
    <t>restaurantleskrapados@gmail.com</t>
  </si>
  <si>
    <t>02 21 81 31 27</t>
  </si>
  <si>
    <t>Restaurant/Crêperie Les Calèches briéronnes</t>
  </si>
  <si>
    <t>creperiebreca@gmail.com</t>
  </si>
  <si>
    <t>02 40 91 33 24</t>
  </si>
  <si>
    <t>restaurant@calechesbrieronnes.fr</t>
  </si>
  <si>
    <t>CAFE DU PONT</t>
  </si>
  <si>
    <t>Saint-Malo-De-Guersac</t>
  </si>
  <si>
    <t>cafedupont44@gmail.com</t>
  </si>
  <si>
    <t>09 54 16 77 72</t>
  </si>
  <si>
    <t>ANNE EN CUISINE</t>
  </si>
  <si>
    <t>Saint-Mars-De-Coutais</t>
  </si>
  <si>
    <t>anne-encuisine@riseup.net</t>
  </si>
  <si>
    <t>L'alplaya</t>
  </si>
  <si>
    <t>william.weber204@sfr.fr</t>
  </si>
  <si>
    <t>02 40 64 90 06</t>
  </si>
  <si>
    <t>hotelbretagne.stmichel@orange.fr</t>
  </si>
  <si>
    <t>02 40 27 84 60</t>
  </si>
  <si>
    <t>Le Port</t>
  </si>
  <si>
    <t>chereautatiana@gmail.com</t>
  </si>
  <si>
    <t>02 40 27 80 36</t>
  </si>
  <si>
    <t>Le Thamaris</t>
  </si>
  <si>
    <t>coucou@thamaris.fr</t>
  </si>
  <si>
    <t>09 83 39 58 04</t>
  </si>
  <si>
    <t>Le bac à blé</t>
  </si>
  <si>
    <t>chabada6@gmail.com</t>
  </si>
  <si>
    <t>02 40 64 90 90</t>
  </si>
  <si>
    <t>Le rencard de la gare</t>
  </si>
  <si>
    <t>lerencarddlagare@hotmail.com</t>
  </si>
  <si>
    <t>02 40 39 72 49</t>
  </si>
  <si>
    <t>Au Grain de Sel</t>
  </si>
  <si>
    <t>Saint-Molf</t>
  </si>
  <si>
    <t>legraindesel.44@orange.fr</t>
  </si>
  <si>
    <t>+33 2 40 62 50 51</t>
  </si>
  <si>
    <t>Aquilon</t>
  </si>
  <si>
    <t>info@hotelaquilon.com</t>
  </si>
  <si>
    <t>+33 2 51 76 67 66</t>
  </si>
  <si>
    <t>BROTHERS' PUB</t>
  </si>
  <si>
    <t>brotherspub.stn@gmail.com</t>
  </si>
  <si>
    <t>CAFÉ DU BRÉSIL</t>
  </si>
  <si>
    <t>chantal.belliot44@orange.fr</t>
  </si>
  <si>
    <t>02 40 22 23 24</t>
  </si>
  <si>
    <t>CAFÉ POPOTE</t>
  </si>
  <si>
    <t>vdenis22@yahoo.fr</t>
  </si>
  <si>
    <t>02 51 73 91 40</t>
  </si>
  <si>
    <t>CHURCHILL CAFE</t>
  </si>
  <si>
    <t>contact@churchill-cafe.fr</t>
  </si>
  <si>
    <t>02 28 54 95 62</t>
  </si>
  <si>
    <t>GLOBE CAFÉ</t>
  </si>
  <si>
    <t>restauration.sodijour@gmail.com</t>
  </si>
  <si>
    <t>02 40 22 15 01</t>
  </si>
  <si>
    <t>L'AUBERGE DU MENHIR</t>
  </si>
  <si>
    <t>auberge.menhir@gmail.com</t>
  </si>
  <si>
    <t>02 40 90 00 00</t>
  </si>
  <si>
    <t>L'AVENUE</t>
  </si>
  <si>
    <t>avenue100.44@gmail.com</t>
  </si>
  <si>
    <t>02 40 01 85 24</t>
  </si>
  <si>
    <t>L'ENVOLÉE DE LA CHRYSALIDE</t>
  </si>
  <si>
    <t>lenvoleedelachrysalide@gmail.com</t>
  </si>
  <si>
    <t>02 40 53 02 43</t>
  </si>
  <si>
    <t>LA BOETIE</t>
  </si>
  <si>
    <t>brasserielaboetie@orange.fr</t>
  </si>
  <si>
    <t>02 40 22 74 51</t>
  </si>
  <si>
    <t>LA BROCANTINE</t>
  </si>
  <si>
    <t>auvrai.magali@gmail.com</t>
  </si>
  <si>
    <t>02 40 70 25 99</t>
  </si>
  <si>
    <t>LA LIBERTÉ</t>
  </si>
  <si>
    <t>laliberte.dh@gmail.com</t>
  </si>
  <si>
    <t>09 88 32 56 00</t>
  </si>
  <si>
    <t>LE FRANCE</t>
  </si>
  <si>
    <t>resto@lefrance.net</t>
  </si>
  <si>
    <t>02 40 91 96 13</t>
  </si>
  <si>
    <t>LE PETIT GOINFRE</t>
  </si>
  <si>
    <t>lepetitgoinfre@orange.fr</t>
  </si>
  <si>
    <t>02 40 22 09 91</t>
  </si>
  <si>
    <t>LE POMPON</t>
  </si>
  <si>
    <t>pompon.restaurant@gmail.com</t>
  </si>
  <si>
    <t>LE SAINT-MARC</t>
  </si>
  <si>
    <t>lesaintmarc@hotmail.com</t>
  </si>
  <si>
    <t>02 40 15 19 08</t>
  </si>
  <si>
    <t>LE SCENE 6</t>
  </si>
  <si>
    <t>scene6.2024@gmail.com</t>
  </si>
  <si>
    <t>09 83 89 14 91</t>
  </si>
  <si>
    <t>LE TRANSAT</t>
  </si>
  <si>
    <t>transatsdw@gmail.com</t>
  </si>
  <si>
    <t>02 40 19 66 62</t>
  </si>
  <si>
    <t>LES TRANQUILLOUS</t>
  </si>
  <si>
    <t>patalrefa@hotmail.fr</t>
  </si>
  <si>
    <t>02 53 19 32 13</t>
  </si>
  <si>
    <t>Le Physalis</t>
  </si>
  <si>
    <t>restophysalis@orange.fr</t>
  </si>
  <si>
    <t>+33240889087</t>
  </si>
  <si>
    <t>L’auberge du Menhir</t>
  </si>
  <si>
    <t>+33 2 40 90 00 00</t>
  </si>
  <si>
    <t>NAÏA</t>
  </si>
  <si>
    <t>contact@naiarestaurant.fr</t>
  </si>
  <si>
    <t>02 40 45 27 74</t>
  </si>
  <si>
    <t>O JARDIN GOURMAND</t>
  </si>
  <si>
    <t>ojardingourmand@hotmail.com</t>
  </si>
  <si>
    <t>02 40 70 00 70</t>
  </si>
  <si>
    <t>RESTAURANT DE LA PLAGE DE MR HULOT</t>
  </si>
  <si>
    <t>restaurant.plagemhulot@gmail.com</t>
  </si>
  <si>
    <t>02 40 91 76 17</t>
  </si>
  <si>
    <t>SOL Y SOMBRA</t>
  </si>
  <si>
    <t>contact@solysombra.fr</t>
  </si>
  <si>
    <t>THE SLAB RESTAURANT &amp; BAR</t>
  </si>
  <si>
    <t>info@gong-galaxy.com</t>
  </si>
  <si>
    <t>02 51 16 19 10</t>
  </si>
  <si>
    <t>ZYMA COOKIE</t>
  </si>
  <si>
    <t>zymacookie@gmail.com</t>
  </si>
  <si>
    <t>Auberge Des Marais</t>
  </si>
  <si>
    <t>Saint-Nicolas-De-Redon</t>
  </si>
  <si>
    <t>aubergedesmarais@orange.fr</t>
  </si>
  <si>
    <t>02 99 71 16 88</t>
  </si>
  <si>
    <t>crêperie Saint Nicolas</t>
  </si>
  <si>
    <t>sarl.lysa@live.fr</t>
  </si>
  <si>
    <t>09 73 56 63 02</t>
  </si>
  <si>
    <t>Creperie aux berges de bougard</t>
  </si>
  <si>
    <t>Saint-Omer-De-Blain</t>
  </si>
  <si>
    <t>auxbergesdebougard44@hotmail.com</t>
  </si>
  <si>
    <t>+33 2 40 79 07 05</t>
  </si>
  <si>
    <t>AU PETIT MARCHÉ</t>
  </si>
  <si>
    <t>aupetitmarcheresto@gmail.com</t>
  </si>
  <si>
    <t>02 40 82 28 44</t>
  </si>
  <si>
    <t>L'EPIKURISME</t>
  </si>
  <si>
    <t>contact@lepikurisme.com</t>
  </si>
  <si>
    <t>LE GRAND HÔTEL</t>
  </si>
  <si>
    <t>gh-44@hotmail.fr</t>
  </si>
  <si>
    <t>02 40 21 70 10</t>
  </si>
  <si>
    <t>BRASSERIE DES VOYAGEURS</t>
  </si>
  <si>
    <t>cafedesvoyageurs@orange.fr</t>
  </si>
  <si>
    <t>02 40 78 89 29</t>
  </si>
  <si>
    <t>COM A LA MAISON</t>
  </si>
  <si>
    <t>titia.thabard@orange.fr</t>
  </si>
  <si>
    <t>02 28 27 05 45</t>
  </si>
  <si>
    <t>LA BOSSELLE</t>
  </si>
  <si>
    <t>restaurant@labosselle.fr</t>
  </si>
  <si>
    <t>02 40 78 73 47</t>
  </si>
  <si>
    <t>CAFÉ – RESTAURANT LE PETIT JARDIN</t>
  </si>
  <si>
    <t>Saint-Sebastien-Sur-Loire</t>
  </si>
  <si>
    <t>contact@resto-lepetitjardin.fr</t>
  </si>
  <si>
    <t>02 40 56 40 21</t>
  </si>
  <si>
    <t>CARA</t>
  </si>
  <si>
    <t>restocara@gmail.com</t>
  </si>
  <si>
    <t>02 40 34 66 84</t>
  </si>
  <si>
    <t>LE RESTAURANT CAMPANILE</t>
  </si>
  <si>
    <t>nantes.stsebastien@campanile.fr</t>
  </si>
  <si>
    <t>02 40 80 75 05</t>
  </si>
  <si>
    <t>LA BRASSERIE DU TSN - LA CHILLING ZONE</t>
  </si>
  <si>
    <t>Saint-Viaud</t>
  </si>
  <si>
    <t>contact@tsn44.com</t>
  </si>
  <si>
    <t>02 40 39 15 92</t>
  </si>
  <si>
    <t>LE REST'O BAR</t>
  </si>
  <si>
    <t>lerestobar44@gmail.com</t>
  </si>
  <si>
    <t>02 40 39 75 66</t>
  </si>
  <si>
    <t>O BORD DU LAC</t>
  </si>
  <si>
    <t>restaurantobordulac@gmail.com</t>
  </si>
  <si>
    <t>YUMMY CHOW 44</t>
  </si>
  <si>
    <t>yummychow44@gmail.com</t>
  </si>
  <si>
    <t>LA TABLE QU'ON M</t>
  </si>
  <si>
    <t>Saint-Vincent-Des-Landes</t>
  </si>
  <si>
    <t>latablequonm@gmail.com</t>
  </si>
  <si>
    <t>02 40 55 08 73</t>
  </si>
  <si>
    <t>La Gamelle</t>
  </si>
  <si>
    <t>Sainte-Anne-Sur-Brivet</t>
  </si>
  <si>
    <t>lagamelle.bbc@gmail.com</t>
  </si>
  <si>
    <t>02 40 30 69 68</t>
  </si>
  <si>
    <t>JANO</t>
  </si>
  <si>
    <t>Sainte-Luce-Sur-Loire</t>
  </si>
  <si>
    <t>jano.nantes@gmail.com</t>
  </si>
  <si>
    <t>02 40 25 85 60</t>
  </si>
  <si>
    <t>Al pazzio Paz'Pizza</t>
  </si>
  <si>
    <t>pazpizza@orange.fr</t>
  </si>
  <si>
    <t>02 40 02 47 95</t>
  </si>
  <si>
    <t>Restaurant Café de la Gare</t>
  </si>
  <si>
    <t>nadialionel@orange.fr</t>
  </si>
  <si>
    <t>02 40 02 49 43</t>
  </si>
  <si>
    <t>Auberge du Chaland</t>
  </si>
  <si>
    <t>Sainte-Reine-De-Bretagne</t>
  </si>
  <si>
    <t>aubergeduchaland@gmail.com</t>
  </si>
  <si>
    <t>02 40 01 05 28</t>
  </si>
  <si>
    <t>La Boutique A Pizza</t>
  </si>
  <si>
    <t>Sautron</t>
  </si>
  <si>
    <t>44880</t>
  </si>
  <si>
    <t>laboutiqueapizza@outlook.fr</t>
  </si>
  <si>
    <t>+33 6 11 11 26 98</t>
  </si>
  <si>
    <t>Côté Lac</t>
  </si>
  <si>
    <t>contact@savenaycotelac.fr</t>
  </si>
  <si>
    <t>02 40 95 65 16</t>
  </si>
  <si>
    <t>La Table des Fairways</t>
  </si>
  <si>
    <t>latabledesfairways@gmail.com</t>
  </si>
  <si>
    <t>02 79 40 05 01</t>
  </si>
  <si>
    <t>Le Bistrot des Halles</t>
  </si>
  <si>
    <t>matt.pl@hotmail.fr</t>
  </si>
  <si>
    <t>Matthieu</t>
  </si>
  <si>
    <t>Le Chêne Vert</t>
  </si>
  <si>
    <t>contact@hotel-lechenevert.fr</t>
  </si>
  <si>
    <t>02 40 56 90 16</t>
  </si>
  <si>
    <t>Mr &amp; Mme B</t>
  </si>
  <si>
    <t>contact@monsieur-et-madame-b.com</t>
  </si>
  <si>
    <t>02 40 05 80 50</t>
  </si>
  <si>
    <t>CAFÉ-RESTAURANT GOGAILLE</t>
  </si>
  <si>
    <t>Suce-Sur-Erdre</t>
  </si>
  <si>
    <t>cafe.gogaille@gmail.com</t>
  </si>
  <si>
    <t>02 40 93 50 91</t>
  </si>
  <si>
    <t>RESTAURANT LA CABANE</t>
  </si>
  <si>
    <t>lacabanereservation@gmail.com</t>
  </si>
  <si>
    <t>02 40 77 98 64</t>
  </si>
  <si>
    <t>Ô PATIO</t>
  </si>
  <si>
    <t>contact@restaurantopatio.fr</t>
  </si>
  <si>
    <t>02 51 81 10 10</t>
  </si>
  <si>
    <t>LE COMPTOITR DE GOUL</t>
  </si>
  <si>
    <t>lecomptoirdegoul@gmail.com</t>
  </si>
  <si>
    <t>02 28 30 12 77</t>
  </si>
  <si>
    <t>RESTAURANT ALBERT'S PLACE</t>
  </si>
  <si>
    <t>h1833@accor.com</t>
  </si>
  <si>
    <t>02 40 72 87 88</t>
  </si>
  <si>
    <t>Restaurant A la Petite Ruelle</t>
  </si>
  <si>
    <t>alapetiteruelle@orange.fr</t>
  </si>
  <si>
    <t>02.40.36.61.98</t>
  </si>
  <si>
    <t>Restaurant Auberge de la Comtière</t>
  </si>
  <si>
    <t>lacomtiere3@gmail.com</t>
  </si>
  <si>
    <t>02 40 33 71 27</t>
  </si>
  <si>
    <t>Restaurant Clair de Lie</t>
  </si>
  <si>
    <t>clairdelie@orange.fr</t>
  </si>
  <si>
    <t>02 40 33 92 55</t>
  </si>
  <si>
    <t>Restaurant le Don Quichotte</t>
  </si>
  <si>
    <t>donquichottevallet@wanadoo.fr</t>
  </si>
  <si>
    <t>02 40 33 99 67</t>
  </si>
  <si>
    <t>Vinya, restaurant, live bar</t>
  </si>
  <si>
    <t>contact@vinya.fr</t>
  </si>
  <si>
    <t>02 85 52 34 69</t>
  </si>
  <si>
    <t>L'Auberge Le Prieuré des Gourmands</t>
  </si>
  <si>
    <t>44540</t>
  </si>
  <si>
    <t>apg.bonnoeuvre@gmail.com</t>
  </si>
  <si>
    <t>02 55 07 03 45</t>
  </si>
  <si>
    <t>L'Engrenage</t>
  </si>
  <si>
    <t>aufildeleaustmarslajaille44540@yahoo.com</t>
  </si>
  <si>
    <t>09 53 73 94 75</t>
  </si>
  <si>
    <t>RESTAURANT-BAR O'VAYRITABLE</t>
  </si>
  <si>
    <t>Vay</t>
  </si>
  <si>
    <t>restaurantovayritable@gmx.fr</t>
  </si>
  <si>
    <t>Château de la Frémoire - Restaurant</t>
  </si>
  <si>
    <t>chateaudelafremoire@vinsdenantes.com</t>
  </si>
  <si>
    <t>L'écluse</t>
  </si>
  <si>
    <t>restaurant@eclusevertou.com</t>
  </si>
  <si>
    <t>+33 2 40 34 40 70</t>
  </si>
  <si>
    <t>La Cantine Ô Moines</t>
  </si>
  <si>
    <t>lacantineomoines@gmail.com</t>
  </si>
  <si>
    <t>+33 2 40 34 21 33</t>
  </si>
  <si>
    <t>02 40 73 03 86</t>
  </si>
  <si>
    <t>Sébastien et Loïc</t>
  </si>
  <si>
    <t>Restaurant le Relais du Beau Soleil</t>
  </si>
  <si>
    <t>Vieillevigne</t>
  </si>
  <si>
    <t>44116</t>
  </si>
  <si>
    <t>le.relais.du.beau.soleil@gmail.com</t>
  </si>
  <si>
    <t>02 51 70 09 08</t>
  </si>
  <si>
    <t>Vigneux-De-Bretagne</t>
  </si>
  <si>
    <t>lacabaneamalt@orange.fr</t>
  </si>
  <si>
    <t>02 40 47 95 73</t>
  </si>
  <si>
    <t>RESTAURANT DU GOLF CLUB DE NANTES</t>
  </si>
  <si>
    <t>accueil@golfclubdenantes.com</t>
  </si>
  <si>
    <t>02 40 63 25 82</t>
  </si>
  <si>
    <t>Chef à domicile, Resto'ns à la maison</t>
  </si>
  <si>
    <t>contact.chefadomicileanthony@gmail.com</t>
  </si>
  <si>
    <t>06 51 63 16 51</t>
  </si>
  <si>
    <t>lebistrot44580@gmail.com</t>
  </si>
  <si>
    <t>02 40 64 39 68</t>
  </si>
  <si>
    <t>Le Colvert - Chez P'tit Père</t>
  </si>
  <si>
    <t>restaurantlecolvert@orange.fr</t>
  </si>
  <si>
    <t>02 40 21 46 79</t>
  </si>
  <si>
    <t>RESTAURANT LA BOURRINE</t>
  </si>
  <si>
    <t>la.bourrine@wanadoo.fr</t>
  </si>
  <si>
    <t>02 40 21 40 69</t>
  </si>
  <si>
    <t>Restaurant Bellus Fortis</t>
  </si>
  <si>
    <t>restaurant@bellusfortis.fr</t>
  </si>
  <si>
    <t>02 41 97 68 71</t>
  </si>
  <si>
    <t>Le Parvis</t>
  </si>
  <si>
    <t>leparvischolet@gmail.com</t>
  </si>
  <si>
    <t>02 41 63 11 12</t>
  </si>
  <si>
    <t>Aldo Sebastien Fernandez</t>
  </si>
  <si>
    <t>O'TO</t>
  </si>
  <si>
    <t>contact@restaurant-oto.fr</t>
  </si>
  <si>
    <t>02 41 63 76 61</t>
  </si>
  <si>
    <t>Sophie Marie Baranger &amp; Sofisa</t>
  </si>
  <si>
    <t>Le Carahutta</t>
  </si>
  <si>
    <t>Chênehutte Gennes-Val-De-Loire</t>
  </si>
  <si>
    <t>49350</t>
  </si>
  <si>
    <t>lecarahutta@gmail.com</t>
  </si>
  <si>
    <t>+33241389554</t>
  </si>
  <si>
    <t>Restaurant La Route du Sel</t>
  </si>
  <si>
    <t>Gennes-Val-De-Loire</t>
  </si>
  <si>
    <t>contact@authoureil.fr</t>
  </si>
  <si>
    <t>02 41 45 75 31</t>
  </si>
  <si>
    <t>Restaurant L'Auberge des Isles</t>
  </si>
  <si>
    <t>Montreuil-Bellay</t>
  </si>
  <si>
    <t>reservation@auberge-des-isles.fr</t>
  </si>
  <si>
    <t>02 41 50 37 37</t>
  </si>
  <si>
    <t>Le Petit Manoir</t>
  </si>
  <si>
    <t>Saint-Melaine-Sur-Aubance</t>
  </si>
  <si>
    <t>49610</t>
  </si>
  <si>
    <t>le.petit.manoir@wanadoo.fr</t>
  </si>
  <si>
    <t>02 41 45 33 32</t>
  </si>
  <si>
    <t>Laurence Rayot (Guerry) &amp; Herve Rayot</t>
  </si>
  <si>
    <t>Le Boeuf Noisette</t>
  </si>
  <si>
    <t>leboeufnoisette@gmail.com</t>
  </si>
  <si>
    <t>+33 9 81 73 73 10</t>
  </si>
  <si>
    <t>Restaurant Bistrot de la Place</t>
  </si>
  <si>
    <t>contact@bistrotdelaplace-saumur.com</t>
  </si>
  <si>
    <t>02 41 51 13 27</t>
  </si>
  <si>
    <t>Restaurant La table by Mi-K'L</t>
  </si>
  <si>
    <t>contact@latable-saumur.fr</t>
  </si>
  <si>
    <t>02 41 52 96 52</t>
  </si>
  <si>
    <t>Restaurant l'Escargot</t>
  </si>
  <si>
    <t>dominiquedubert@orange.fr</t>
  </si>
  <si>
    <t>02 41 51 20 88</t>
  </si>
  <si>
    <t>POPOTE &amp; POMPETTE</t>
  </si>
  <si>
    <t>Val-Du-Layon</t>
  </si>
  <si>
    <t>popote-pompette@orange.fr</t>
  </si>
  <si>
    <t>02 41 54 68 98</t>
  </si>
  <si>
    <t>Acropole Restaurant</t>
  </si>
  <si>
    <t>Verrieres-En-Anjou</t>
  </si>
  <si>
    <t>49480</t>
  </si>
  <si>
    <t>acropole@brithotel.fr</t>
  </si>
  <si>
    <t>02 41 60 87 88</t>
  </si>
  <si>
    <t>hotellascierie@orange.fr</t>
  </si>
  <si>
    <t>+33 2 41 18 18 13</t>
  </si>
  <si>
    <t>Auberge Saint-Pierre</t>
  </si>
  <si>
    <t>aubistrogourmand@sfr.fr</t>
  </si>
  <si>
    <t>+33 2 41 51 26 25</t>
  </si>
  <si>
    <t>Auberge de la Mairie</t>
  </si>
  <si>
    <t>aubergedelamairie@hotmail.fr</t>
  </si>
  <si>
    <t>+33 2 41 69 01 03</t>
  </si>
  <si>
    <t>Bistronomica</t>
  </si>
  <si>
    <t>contact.bistronomica@gmail.fr</t>
  </si>
  <si>
    <t>+33 241610604</t>
  </si>
  <si>
    <t>Il Fiore</t>
  </si>
  <si>
    <t>contact@family-francky.fr</t>
  </si>
  <si>
    <t>+33 2 41 87 77 69</t>
  </si>
  <si>
    <t>L'Aigue Marine</t>
  </si>
  <si>
    <t>restaurant.aiguemarine@gmail.com</t>
  </si>
  <si>
    <t>+33 2 41 38 12 52</t>
  </si>
  <si>
    <t>La Colonnade</t>
  </si>
  <si>
    <t>h7006@accor.com</t>
  </si>
  <si>
    <t>+33 2 41 94 18 23</t>
  </si>
  <si>
    <t>La Dévoreuse</t>
  </si>
  <si>
    <t>contact@ladevoreuse.fr</t>
  </si>
  <si>
    <t>+33 2 85 35 91 85</t>
  </si>
  <si>
    <t>La cantine du BDC</t>
  </si>
  <si>
    <t>contact@bdc-angers.com</t>
  </si>
  <si>
    <t>+33 2 41 87 45 07</t>
  </si>
  <si>
    <t>La petite ardoise</t>
  </si>
  <si>
    <t>laptiteardoise.angers@gmail.com</t>
  </si>
  <si>
    <t>+33 9 69 80 71 53</t>
  </si>
  <si>
    <t>Le Conti</t>
  </si>
  <si>
    <t>cailleton49@orange.fr</t>
  </si>
  <si>
    <t>+33 2 41 62 21 85</t>
  </si>
  <si>
    <t>Le Grand Jardin</t>
  </si>
  <si>
    <t>h0540@accor.com</t>
  </si>
  <si>
    <t>+33 2 41 60 34 81</t>
  </si>
  <si>
    <t>Le Punjab</t>
  </si>
  <si>
    <t>malikkhawar15@gmail.com</t>
  </si>
  <si>
    <t>+33 2 41 87 15 03</t>
  </si>
  <si>
    <t>Le royaume de Saba</t>
  </si>
  <si>
    <t>leroyaume2saba@gmail.com</t>
  </si>
  <si>
    <t>+33 7 68 83 53 77</t>
  </si>
  <si>
    <t>Les maraîchers</t>
  </si>
  <si>
    <t>angelaut49@gmail.com</t>
  </si>
  <si>
    <t>+33 2 41 43 82 29</t>
  </si>
  <si>
    <t>angers@maisonpaganelli.com</t>
  </si>
  <si>
    <t>+33 2 41 24 95 44</t>
  </si>
  <si>
    <t>Pastels, wax et cie</t>
  </si>
  <si>
    <t>pastelswaxetcie@gmail.com</t>
  </si>
  <si>
    <t>+33 9 86 08 59 89</t>
  </si>
  <si>
    <t>Pok Ïno</t>
  </si>
  <si>
    <t>pokinoangers@icloud.com</t>
  </si>
  <si>
    <t>+33 2 41 60 42 66</t>
  </si>
  <si>
    <t>Potiron &amp; Ciboulette</t>
  </si>
  <si>
    <t>potironetciboulette@gmail.com</t>
  </si>
  <si>
    <t>+33 7 69 99 96 19</t>
  </si>
  <si>
    <t>Pépé le roi du poulet</t>
  </si>
  <si>
    <t>pepeleroidupoulet-saumur@orange.fr</t>
  </si>
  <si>
    <t>+33 6 71 09 83 70</t>
  </si>
  <si>
    <t>Reste au 51</t>
  </si>
  <si>
    <t>reste.au.51@gmail.com</t>
  </si>
  <si>
    <t>+33 7 86 32 03 51</t>
  </si>
  <si>
    <t>Tigr.</t>
  </si>
  <si>
    <t>contact@tigr-angers.fr</t>
  </si>
  <si>
    <t>+33 2 41 88 15 64; +33 9 83 90 36 18</t>
  </si>
  <si>
    <t>1801 Les Cuisines du Musée</t>
  </si>
  <si>
    <t>info@1801lescuisinesdumusee.fr</t>
  </si>
  <si>
    <t>02 41 24 84 57</t>
  </si>
  <si>
    <t>Au P'tit Resto</t>
  </si>
  <si>
    <t>au-p-tit-resto@orange.fr</t>
  </si>
  <si>
    <t>02 41 86 87 00</t>
  </si>
  <si>
    <t>Au Restau Théâtre</t>
  </si>
  <si>
    <t>aurestautheatre@orange.fr</t>
  </si>
  <si>
    <t>02 41 72 84 26</t>
  </si>
  <si>
    <t>Bouillon Baron</t>
  </si>
  <si>
    <t>bouillonbaron@gmail.com</t>
  </si>
  <si>
    <t>+33 2 41 43 34 79</t>
  </si>
  <si>
    <t>Brasserie Le Win's</t>
  </si>
  <si>
    <t>lewins@orange.fr</t>
  </si>
  <si>
    <t>02 41 79 85 97</t>
  </si>
  <si>
    <t>Brasserie de la Gare</t>
  </si>
  <si>
    <t>resa@brasserie-angers.fr</t>
  </si>
  <si>
    <t>02 41 88 48 57</t>
  </si>
  <si>
    <t>Brasserie du Ralliement</t>
  </si>
  <si>
    <t>contact@brasserieduralliement.fr</t>
  </si>
  <si>
    <t>02 41 24 99 65</t>
  </si>
  <si>
    <t>Café Saint Martin</t>
  </si>
  <si>
    <t>28saintmartin@gmail.com</t>
  </si>
  <si>
    <t>09 53 45 54 69</t>
  </si>
  <si>
    <t>Chardon</t>
  </si>
  <si>
    <t>contact@chardonangers.com</t>
  </si>
  <si>
    <t>09 56 45 79 71</t>
  </si>
  <si>
    <t>Chez Paul</t>
  </si>
  <si>
    <t>chezpaul49@gmail.com</t>
  </si>
  <si>
    <t>+33 2 41 86 08 08</t>
  </si>
  <si>
    <t>Chez Pont-Pont</t>
  </si>
  <si>
    <t>chezpontpont@gmail.com</t>
  </si>
  <si>
    <t>02 41 17 40 03</t>
  </si>
  <si>
    <t>Croccante</t>
  </si>
  <si>
    <t>croccante.angers@gmail.com</t>
  </si>
  <si>
    <t>+33 6 76 62 92 02</t>
  </si>
  <si>
    <t>Foodista</t>
  </si>
  <si>
    <t>foodista.angers@gmail.com</t>
  </si>
  <si>
    <t>+33 9 88 42 07 89</t>
  </si>
  <si>
    <t>Ginkgo Bar</t>
  </si>
  <si>
    <t>ginkgo.angers@gmail.com</t>
  </si>
  <si>
    <t>02 41 60 59 12</t>
  </si>
  <si>
    <t>Gueuleton</t>
  </si>
  <si>
    <t>angers@gueuleton.fr</t>
  </si>
  <si>
    <t>+33 2 41 27 87 12</t>
  </si>
  <si>
    <t>Joe Carpa Brasserie</t>
  </si>
  <si>
    <t>joecarpa.angers@gmail.com</t>
  </si>
  <si>
    <t>02 41 34 29 39</t>
  </si>
  <si>
    <t>L'Académie</t>
  </si>
  <si>
    <t>restaurantbar.lacademie@gmail.com</t>
  </si>
  <si>
    <t>+33 2 41 87 35 48</t>
  </si>
  <si>
    <t>L'Ardoise</t>
  </si>
  <si>
    <t>lardoiseangers@outlook.fr</t>
  </si>
  <si>
    <t>02 72 73 11 91</t>
  </si>
  <si>
    <t>L'Astuce</t>
  </si>
  <si>
    <t>restaurantlastuce@gmail.com</t>
  </si>
  <si>
    <t>02 41 60 06 80</t>
  </si>
  <si>
    <t>La Belle Équipe</t>
  </si>
  <si>
    <t>labelleequipeangers@gmail.com</t>
  </si>
  <si>
    <t>+33 2 41 81 62 39</t>
  </si>
  <si>
    <t>La Chouette</t>
  </si>
  <si>
    <t>barlachouette@gmail.com</t>
  </si>
  <si>
    <t>02 41 88 47 77</t>
  </si>
  <si>
    <t>La Douce Heure</t>
  </si>
  <si>
    <t>contact@restaurant-ladouceheure.com</t>
  </si>
  <si>
    <t>02 41 44 06 35</t>
  </si>
  <si>
    <t>La Ferme</t>
  </si>
  <si>
    <t>contact@restaurant-laferme.com</t>
  </si>
  <si>
    <t>+33 2 41 87 09 90</t>
  </si>
  <si>
    <t>La Maison</t>
  </si>
  <si>
    <t>contact@lamaisonangers.com</t>
  </si>
  <si>
    <t>+33 2 59 29 02 00</t>
  </si>
  <si>
    <t>La Soufflerie</t>
  </si>
  <si>
    <t>lasoufflerieangers@gmail.com</t>
  </si>
  <si>
    <t>02 41 87 45 32</t>
  </si>
  <si>
    <t>La petite cigogne</t>
  </si>
  <si>
    <t>contact@lapetitecigogne.fr</t>
  </si>
  <si>
    <t>+33 9 78 81 06 36</t>
  </si>
  <si>
    <t>La table 33</t>
  </si>
  <si>
    <t>contact@latable33.fr</t>
  </si>
  <si>
    <t>+33 2 41 43 93 99</t>
  </si>
  <si>
    <t>Le Bouffon Bleu</t>
  </si>
  <si>
    <t>lebouffonbleu.angers@gmail.com</t>
  </si>
  <si>
    <t>09 87 34 64 58</t>
  </si>
  <si>
    <t>Le Clos du Roi</t>
  </si>
  <si>
    <t>leclosduroi.angers@gmail.com</t>
  </si>
  <si>
    <t>02 55 98 45 90</t>
  </si>
  <si>
    <t>Le Dos de la Cuillère</t>
  </si>
  <si>
    <t>cellefi@aol.com</t>
  </si>
  <si>
    <t>02 41 73 30 18</t>
  </si>
  <si>
    <t>Le Grandgousier</t>
  </si>
  <si>
    <t>cuisines@sophonie.fr</t>
  </si>
  <si>
    <t>02 41 72 52 18</t>
  </si>
  <si>
    <t>Le James Joyce</t>
  </si>
  <si>
    <t>lejamesjoyce49@gmail.com</t>
  </si>
  <si>
    <t>02 41 87 76 87</t>
  </si>
  <si>
    <t>Le Nid du Héron</t>
  </si>
  <si>
    <t>gestion.nidduheron@gmail.com</t>
  </si>
  <si>
    <t>Le Port de l'Ile</t>
  </si>
  <si>
    <t>leportdelile@gmail.com</t>
  </si>
  <si>
    <t>02 41 39 85 29</t>
  </si>
  <si>
    <t>Le Pub du Ralliement</t>
  </si>
  <si>
    <t>pub.ralliement@yahoo.fr</t>
  </si>
  <si>
    <t>02 41 25 18 70</t>
  </si>
  <si>
    <t>Le Tablier</t>
  </si>
  <si>
    <t>resto.letablier@gmail.com</t>
  </si>
  <si>
    <t>02 41 48 40 64</t>
  </si>
  <si>
    <t>Le bistrot de Louise</t>
  </si>
  <si>
    <t>alban.vetele@sfr.fr</t>
  </si>
  <si>
    <t>02 41 19 78 94</t>
  </si>
  <si>
    <t>Le p'tit Foch</t>
  </si>
  <si>
    <t>leptitfoch@gmail.com</t>
  </si>
  <si>
    <t>+33 2 41 72 80 74</t>
  </si>
  <si>
    <t>Les Variétés</t>
  </si>
  <si>
    <t>varietesangers@gmail.com</t>
  </si>
  <si>
    <t>02 41 88 46 62</t>
  </si>
  <si>
    <t>Les fouées de gargantua</t>
  </si>
  <si>
    <t>bonjour@foueesgargantua.fr</t>
  </si>
  <si>
    <t>Lili Gourmande</t>
  </si>
  <si>
    <t>liligourmande.angers@gmail.com</t>
  </si>
  <si>
    <t>02 41 96 02 53</t>
  </si>
  <si>
    <t>L’Astuce</t>
  </si>
  <si>
    <t>contact@restaurant-lastuce-angers.com</t>
  </si>
  <si>
    <t>+33 2 41 60 06 80</t>
  </si>
  <si>
    <t>L’ardoise</t>
  </si>
  <si>
    <t>contact@lardoise-angers.fr</t>
  </si>
  <si>
    <t>+33 2 72 73 11 91</t>
  </si>
  <si>
    <t>Maison Watson</t>
  </si>
  <si>
    <t>contact@maisonwatson.fr</t>
  </si>
  <si>
    <t>+33 2 72 73 19 95</t>
  </si>
  <si>
    <t>Marlaguette</t>
  </si>
  <si>
    <t>resto@marlaguette.com</t>
  </si>
  <si>
    <t>09 88 51 09 29</t>
  </si>
  <si>
    <t>Mauvaise Graine Angers</t>
  </si>
  <si>
    <t>soydivisionmg@gmail.com</t>
  </si>
  <si>
    <t>Mésopotamie</t>
  </si>
  <si>
    <t>contact@restaurant-mesopotamie.fr</t>
  </si>
  <si>
    <t>+33 9 81 81 20 92</t>
  </si>
  <si>
    <t>Nectar Pâtisserie</t>
  </si>
  <si>
    <t>contact@nectar-patisserie.fr</t>
  </si>
  <si>
    <t>02 41 95 43 79</t>
  </si>
  <si>
    <t>Odorico</t>
  </si>
  <si>
    <t>contact@restaurant-odorico.fr</t>
  </si>
  <si>
    <t>+33 2 41 21 05 14</t>
  </si>
  <si>
    <t>Paku Paku</t>
  </si>
  <si>
    <t>pakupaku.angers@gmail.com</t>
  </si>
  <si>
    <t>+33 2 53 20 71 42</t>
  </si>
  <si>
    <t>Palace Comedy - Angers Comedy Club</t>
  </si>
  <si>
    <t>contactpalacecomedy@gmail.com</t>
  </si>
  <si>
    <t>Restaurant Daddy</t>
  </si>
  <si>
    <t>contact@daddyandco.fr</t>
  </si>
  <si>
    <t>02 41 88 97 62</t>
  </si>
  <si>
    <t>Restaurant Henriette</t>
  </si>
  <si>
    <t>info@logisangerssud.fr</t>
  </si>
  <si>
    <t>02 41 66 04 81</t>
  </si>
  <si>
    <t>Restaurant La Tribu</t>
  </si>
  <si>
    <t>latribu.angers@gmail.com</t>
  </si>
  <si>
    <t>02 41 47 08 48</t>
  </si>
  <si>
    <t>Restaurant Le Tournemine - Angers</t>
  </si>
  <si>
    <t>resas@bonpasteur-hostellerie.org</t>
  </si>
  <si>
    <t>02 41 72 12 80</t>
  </si>
  <si>
    <t>Resto-Troc</t>
  </si>
  <si>
    <t>contact@resto-troc.fr</t>
  </si>
  <si>
    <t>02 41 73 88 12</t>
  </si>
  <si>
    <t>Tonton Foch</t>
  </si>
  <si>
    <t>tontonfoch@gmail.com</t>
  </si>
  <si>
    <t>+33 9 81 77 71 81</t>
  </si>
  <si>
    <t>Restaurant L'Angrilien</t>
  </si>
  <si>
    <t>Angrie</t>
  </si>
  <si>
    <t>49440</t>
  </si>
  <si>
    <t>langrilien49@gmail.com</t>
  </si>
  <si>
    <t>06 71 08 47 69</t>
  </si>
  <si>
    <t>Ciboule et Ciboulette</t>
  </si>
  <si>
    <t>contact@ciboule-ciboulette.fr</t>
  </si>
  <si>
    <t>02 41 72 00 77</t>
  </si>
  <si>
    <t>Restaurant La Clef d'Or</t>
  </si>
  <si>
    <t>juliette.baptista@orange.fr</t>
  </si>
  <si>
    <t>02 41 82 67 14</t>
  </si>
  <si>
    <t>Restaurant Le Brocard</t>
  </si>
  <si>
    <t>marcjousset.lebrocard@orange.fr</t>
  </si>
  <si>
    <t>02 41 82 87 43</t>
  </si>
  <si>
    <t>Restaurant Les Délices du Château</t>
  </si>
  <si>
    <t>lesdelicesduchateau.49@gmail.com</t>
  </si>
  <si>
    <t>09 87 34 61 78</t>
  </si>
  <si>
    <t>Restaurant Les Saveurs de Bordes</t>
  </si>
  <si>
    <t>golf@golf-bauge.fr</t>
  </si>
  <si>
    <t>02 41 89 01 27</t>
  </si>
  <si>
    <t>Restaurant la Pomme de Pin</t>
  </si>
  <si>
    <t>lapommedepin@live.fr</t>
  </si>
  <si>
    <t>02 41 82 75 74</t>
  </si>
  <si>
    <t>Restaurant le Commerce</t>
  </si>
  <si>
    <t>lecommercebauge@hotmail.com</t>
  </si>
  <si>
    <t>02 41 89 14 15</t>
  </si>
  <si>
    <t>Restaurant le Relais du Roi</t>
  </si>
  <si>
    <t>lemassonyvon@gmail.com</t>
  </si>
  <si>
    <t>02 41 89 12 11</t>
  </si>
  <si>
    <t>Atoll Restaurant Angers Beaucouzé</t>
  </si>
  <si>
    <t>contact@atoll-hotel.com</t>
  </si>
  <si>
    <t>02 41 73 15 25</t>
  </si>
  <si>
    <t>Brasserie Le Saint-Benoit</t>
  </si>
  <si>
    <t>contact@brasserie-lesaintbenoit.fr</t>
  </si>
  <si>
    <t>02 41 43 88 69</t>
  </si>
  <si>
    <t>Henriette Bistro Moderne</t>
  </si>
  <si>
    <t>contact@bistrohenriette.com</t>
  </si>
  <si>
    <t>02 41 77 00 00</t>
  </si>
  <si>
    <t>La Bringu'ette à Chouchou</t>
  </si>
  <si>
    <t>direction@bringuetteachouchou.fr</t>
  </si>
  <si>
    <t>02 41 72 15 83</t>
  </si>
  <si>
    <t>Tommy's Diner Cafe</t>
  </si>
  <si>
    <t>ang.manager@tommys.fr</t>
  </si>
  <si>
    <t>02 52 35 01 42</t>
  </si>
  <si>
    <t>Restaurant La Tablée des Voyageurs</t>
  </si>
  <si>
    <t>Beaufort En Anjou</t>
  </si>
  <si>
    <t>latableedesvoyageurs@gmail.com</t>
  </si>
  <si>
    <t>02 41 57 24 00</t>
  </si>
  <si>
    <t>L'Auberge de Beaufort</t>
  </si>
  <si>
    <t>lauberge.de.beaufort@gmail.com</t>
  </si>
  <si>
    <t>02 41 80 38 38</t>
  </si>
  <si>
    <t>L'Auberge du Couasnon</t>
  </si>
  <si>
    <t>aubergeducouasnon@outlook.fr</t>
  </si>
  <si>
    <t>02 41 44 86 29</t>
  </si>
  <si>
    <t>Brasserie Le Planty</t>
  </si>
  <si>
    <t>brasserieleplanty@gmail.com</t>
  </si>
  <si>
    <t>02 41 58 68 15</t>
  </si>
  <si>
    <t>Chez Augustine, comptoir à fromages</t>
  </si>
  <si>
    <t>chez.augustinefromagerie@gmail.com</t>
  </si>
  <si>
    <t>02 41 75 10 92</t>
  </si>
  <si>
    <t>Restaurant La Fontaine</t>
  </si>
  <si>
    <t>seb.platinium@hotmail.fr</t>
  </si>
  <si>
    <t>02 41 58 51 29</t>
  </si>
  <si>
    <t>Restaurant La Rombière</t>
  </si>
  <si>
    <t>restaurant@larombiere.com</t>
  </si>
  <si>
    <t>02 41 85 54 26</t>
  </si>
  <si>
    <t>Restaurant Le Lion d'Or</t>
  </si>
  <si>
    <t>dumais.pascal@orange.fr</t>
  </si>
  <si>
    <t>02 41 63 01 50</t>
  </si>
  <si>
    <t>Restaurant Le Moulin Moine</t>
  </si>
  <si>
    <t>lemoulinmoine@orange.fr</t>
  </si>
  <si>
    <t>02.41.64.22.80</t>
  </si>
  <si>
    <t>Restaurant Le Patio</t>
  </si>
  <si>
    <t>logis.delbee49@wanadoo.fr</t>
  </si>
  <si>
    <t>02 41 75 63 75</t>
  </si>
  <si>
    <t>Restaurant l'Evidence</t>
  </si>
  <si>
    <t>levi.resto49@gmail.com</t>
  </si>
  <si>
    <t>02 41 58 98 13</t>
  </si>
  <si>
    <t>Restaurant l'Oeuf et la poule</t>
  </si>
  <si>
    <t>restaurantloeufetlapoule@gmail.com</t>
  </si>
  <si>
    <t>02 41 63 30 33</t>
  </si>
  <si>
    <t>Restaurant l'Oliviera</t>
  </si>
  <si>
    <t>contact.loliviera@gmail.com</t>
  </si>
  <si>
    <t>02 41 70 03 13</t>
  </si>
  <si>
    <t>Restaurant les Enfants Terribles</t>
  </si>
  <si>
    <t>lesenfantsterriblesbeaupreau1@gmail.com</t>
  </si>
  <si>
    <t>09 81 32 13 66</t>
  </si>
  <si>
    <t>Restaurant la Cuisine de Nini</t>
  </si>
  <si>
    <t>Becon-Les-Granits</t>
  </si>
  <si>
    <t>49370</t>
  </si>
  <si>
    <t>contact@cuisinedenini.fr</t>
  </si>
  <si>
    <t>02 41 34 37 79</t>
  </si>
  <si>
    <t>Auberge de la Croix de Pierre</t>
  </si>
  <si>
    <t>Begrolles-En-Mauges</t>
  </si>
  <si>
    <t>49122</t>
  </si>
  <si>
    <t>lacroixdepierre@free.fr</t>
  </si>
  <si>
    <t>02 41 63 81 57</t>
  </si>
  <si>
    <t>La Guillemette</t>
  </si>
  <si>
    <t>Behuard</t>
  </si>
  <si>
    <t>49170</t>
  </si>
  <si>
    <t>laguillemette.restaurant@gmail.com</t>
  </si>
  <si>
    <t>+33 2 41 39 87 73</t>
  </si>
  <si>
    <t>Les Terrasses de Bonnezeaux</t>
  </si>
  <si>
    <t>contact@terrassesdebonnezeaux.fr</t>
  </si>
  <si>
    <t>02 53 20 66 62</t>
  </si>
  <si>
    <t>Le Petit Blaison</t>
  </si>
  <si>
    <t>Blaison-Saint-Sulpice</t>
  </si>
  <si>
    <t>lepetitblaison@gmail.com</t>
  </si>
  <si>
    <t>02 41 54 85 70</t>
  </si>
  <si>
    <t>Auberge Chanteclair</t>
  </si>
  <si>
    <t>49080</t>
  </si>
  <si>
    <t>pean.legars@gmail.com</t>
  </si>
  <si>
    <t>02 41 77 16 98</t>
  </si>
  <si>
    <t>Brasserie de la Maine</t>
  </si>
  <si>
    <t>brasseriedelamaine.49@gmail.com</t>
  </si>
  <si>
    <t>02 41 77 10 51</t>
  </si>
  <si>
    <t>La Bafouille</t>
  </si>
  <si>
    <t>labafouille@sophonie.fr</t>
  </si>
  <si>
    <t>02 41 77 17 46</t>
  </si>
  <si>
    <t>Le Noë</t>
  </si>
  <si>
    <t>lenoe.restaurant@gmail.com</t>
  </si>
  <si>
    <t>02 41 77 11 13</t>
  </si>
  <si>
    <t>Le Kiviv</t>
  </si>
  <si>
    <t>contact@lekiviv.fr</t>
  </si>
  <si>
    <t>02 41 72 22 57</t>
  </si>
  <si>
    <t>Guinguette La Riviéra</t>
  </si>
  <si>
    <t>guinguettelariviera@gmail.com</t>
  </si>
  <si>
    <t>02 41 57 02 19</t>
  </si>
  <si>
    <t>contact@lardoise-brissac.com</t>
  </si>
  <si>
    <t>02 41 66 54 22</t>
  </si>
  <si>
    <t>La Guinguette à Jojo</t>
  </si>
  <si>
    <t>info@guinguetteajojo.fr</t>
  </si>
  <si>
    <t>02 41 54 64 04</t>
  </si>
  <si>
    <t>Le Bois Délice</t>
  </si>
  <si>
    <t>sebchalumeau@hotmail.fr</t>
  </si>
  <si>
    <t>02 41 91 73 24</t>
  </si>
  <si>
    <t>Resto-brasserie Le Bystrot</t>
  </si>
  <si>
    <t>lebystrot@gmail.com</t>
  </si>
  <si>
    <t>02 41 47 42 66</t>
  </si>
  <si>
    <t>Guinguette Caparicia (ex La Croisette Béhuard)</t>
  </si>
  <si>
    <t>Béhuard</t>
  </si>
  <si>
    <t>contact@lacroisettebehuard.com</t>
  </si>
  <si>
    <t>+33 2 41 23 19 53</t>
  </si>
  <si>
    <t>Restaurant Le Longchamp</t>
  </si>
  <si>
    <t>Cande</t>
  </si>
  <si>
    <t>brunoliaigre@orange.fr</t>
  </si>
  <si>
    <t>02 41 92 73 59</t>
  </si>
  <si>
    <t>Restaurant Le Relais du Val de l'Erdre</t>
  </si>
  <si>
    <t>ericcantin65@gmail.com</t>
  </si>
  <si>
    <t>02 41 26 42 91</t>
  </si>
  <si>
    <t>La Cabane du Chat-qui-Pêche</t>
  </si>
  <si>
    <t>Cantenay-Epinard</t>
  </si>
  <si>
    <t>lacabaneduchatquipeche@gmail.com</t>
  </si>
  <si>
    <t>Restaurant Le Relais Du Château</t>
  </si>
  <si>
    <t>Challain-La-Potherie</t>
  </si>
  <si>
    <t>lerelaisduchateau@hotmail.com</t>
  </si>
  <si>
    <t>02 41 92 42 34</t>
  </si>
  <si>
    <t>GALIPETTES</t>
  </si>
  <si>
    <t>Chalonnes-Sur-Loire</t>
  </si>
  <si>
    <t>contact@restaurant-galipettes.fr</t>
  </si>
  <si>
    <t>02 41 78 80 56</t>
  </si>
  <si>
    <t>Guingette Louet Evasion</t>
  </si>
  <si>
    <t>louetevasion@gmail.com</t>
  </si>
  <si>
    <t>Le Bistrot des Quais</t>
  </si>
  <si>
    <t>lebistrotdesquais49@gmail.com</t>
  </si>
  <si>
    <t>02 41 78 25 21</t>
  </si>
  <si>
    <t>Le Relais de la Loire</t>
  </si>
  <si>
    <t>lerelaisdelaloire@gmail.com</t>
  </si>
  <si>
    <t>02 41 68 46 59</t>
  </si>
  <si>
    <t>Restaurant guinguette La Chambellette</t>
  </si>
  <si>
    <t>Chambellay</t>
  </si>
  <si>
    <t>guinguettechambellay@gmail.com</t>
  </si>
  <si>
    <t>Les Moulins de Péronne</t>
  </si>
  <si>
    <t>Chanteloup-Les-Bois</t>
  </si>
  <si>
    <t>49340</t>
  </si>
  <si>
    <t>jlbtiti@live.fr</t>
  </si>
  <si>
    <t>02 41 64 35 06</t>
  </si>
  <si>
    <t>Restaurant l'Équipage</t>
  </si>
  <si>
    <t>Chaze-Sur-Argos</t>
  </si>
  <si>
    <t>49500</t>
  </si>
  <si>
    <t>lequipage49@orange.fr</t>
  </si>
  <si>
    <t>02 41 61 67 82</t>
  </si>
  <si>
    <t>Guinguette Chez Nini</t>
  </si>
  <si>
    <t>contact@cheznini.fr</t>
  </si>
  <si>
    <t>Restaurant Le P'tit Cheffes</t>
  </si>
  <si>
    <t>Café de la Mairie</t>
  </si>
  <si>
    <t>Chemille-En-Anjou</t>
  </si>
  <si>
    <t>49120</t>
  </si>
  <si>
    <t>cafetourlandry@aol.fr</t>
  </si>
  <si>
    <t>02 41 64 47 16</t>
  </si>
  <si>
    <t>Chez Tonton</t>
  </si>
  <si>
    <t>snc.chez.tonton@gmail.com</t>
  </si>
  <si>
    <t>02 41 65 35 75</t>
  </si>
  <si>
    <t>Guinguette Au Moulin</t>
  </si>
  <si>
    <t>contact@moulindedrapras.com</t>
  </si>
  <si>
    <t>02 41 62 49 51</t>
  </si>
  <si>
    <t>La Table du Martreil</t>
  </si>
  <si>
    <t>contact@le-martreil.fr</t>
  </si>
  <si>
    <t>Le Bistrot 2 Pauline</t>
  </si>
  <si>
    <t>lebistrot2pauline@sfr.fr</t>
  </si>
  <si>
    <t>02 41 46 59 05</t>
  </si>
  <si>
    <t>Le NDC</t>
  </si>
  <si>
    <t>contact.ndc49@gmail.com</t>
  </si>
  <si>
    <t>02 41 55 04 04</t>
  </si>
  <si>
    <t>Restaurant - Brasserie Le Théâtre</t>
  </si>
  <si>
    <t>lesrestaurantsdutheatre@gmail.com</t>
  </si>
  <si>
    <t>02 41 62 93 86</t>
  </si>
  <si>
    <t>Restaurant L'Auberge de l'Arrivée</t>
  </si>
  <si>
    <t>de-l-arrivee.auberge@wanadoo.fr</t>
  </si>
  <si>
    <t>02 41 30 60 31</t>
  </si>
  <si>
    <t>Restaurant L'Escale</t>
  </si>
  <si>
    <t>reservation.lescale@gmail.com</t>
  </si>
  <si>
    <t>02 41 30 63 79</t>
  </si>
  <si>
    <t>Restaurant Les Cerfs de la Fardellière</t>
  </si>
  <si>
    <t>49670</t>
  </si>
  <si>
    <t>lescerfsdelafardelliere@yahoo.fr</t>
  </si>
  <si>
    <t>Restaurant la Gigue</t>
  </si>
  <si>
    <t>gigue.restaurant@gmail.com</t>
  </si>
  <si>
    <t>02 44 51 34 33</t>
  </si>
  <si>
    <t>Tutti Pizza CEA</t>
  </si>
  <si>
    <t>tuttipizza.chemille@gmail.com</t>
  </si>
  <si>
    <t>02 41 62 99 84</t>
  </si>
  <si>
    <t>Au Guingois ID'Halles</t>
  </si>
  <si>
    <t>auguingois@orange.fr</t>
  </si>
  <si>
    <t>02 41 62 10 85</t>
  </si>
  <si>
    <t>Côté Piste</t>
  </si>
  <si>
    <t>contact@cote-piste.fr</t>
  </si>
  <si>
    <t>02 41 75 03 03</t>
  </si>
  <si>
    <t>Faubourg Café</t>
  </si>
  <si>
    <t>faubourgcafe@orange.fr</t>
  </si>
  <si>
    <t>02 41 58 25 22</t>
  </si>
  <si>
    <t>L'Anonyme</t>
  </si>
  <si>
    <t>lanonyme@pk3.fr</t>
  </si>
  <si>
    <t>La P'tite Ferraille</t>
  </si>
  <si>
    <t>laptiteferraille@gmail.com</t>
  </si>
  <si>
    <t>La Pergola</t>
  </si>
  <si>
    <t>davdsx62@gmail.com</t>
  </si>
  <si>
    <t>06 95 83 31 65</t>
  </si>
  <si>
    <t>La Table du Fleuron des Mauges</t>
  </si>
  <si>
    <t>fleurondesmauges@gmail.com</t>
  </si>
  <si>
    <t>02 85 29 52 98</t>
  </si>
  <si>
    <t>La Tarterie de l'Orangerie</t>
  </si>
  <si>
    <t>tarteriedelorangerie49300@gmail.com</t>
  </si>
  <si>
    <t>02 41 85 61 50</t>
  </si>
  <si>
    <t>La Villa des Lys</t>
  </si>
  <si>
    <t>h6924@accor.com</t>
  </si>
  <si>
    <t>02 41 71 08 08</t>
  </si>
  <si>
    <t>La Zitouna Resto</t>
  </si>
  <si>
    <t>lazitounaresto@gmail.com</t>
  </si>
  <si>
    <t>09 83 92 17 30</t>
  </si>
  <si>
    <t>Le Bistro</t>
  </si>
  <si>
    <t>lebistrodecholet@gmail.com</t>
  </si>
  <si>
    <t>02 41 29 00 36</t>
  </si>
  <si>
    <t>Le Bord du Lac</t>
  </si>
  <si>
    <t>info@le-bord-du-lac.fr</t>
  </si>
  <si>
    <t>02 41 62 13 95</t>
  </si>
  <si>
    <t>Le Cinq</t>
  </si>
  <si>
    <t>contact@lecinqcholet.com</t>
  </si>
  <si>
    <t>02 41 28 45 05</t>
  </si>
  <si>
    <t>leconticholet@icloud.com</t>
  </si>
  <si>
    <t>02 41 85 89 02</t>
  </si>
  <si>
    <t>Le Grand Café</t>
  </si>
  <si>
    <t>contact@legrandcafecholet.fr</t>
  </si>
  <si>
    <t>+33 2 41 65 82 41</t>
  </si>
  <si>
    <t>Le Relais des Prairies</t>
  </si>
  <si>
    <t>relaisdesprairies@orange.fr</t>
  </si>
  <si>
    <t>02 41 58 09 39</t>
  </si>
  <si>
    <t>Le Restaurant de l'Autre Usine</t>
  </si>
  <si>
    <t>restaurant@lautreusine.com</t>
  </si>
  <si>
    <t>02 55 88 00 55</t>
  </si>
  <si>
    <t>Le Restaurant du Golf</t>
  </si>
  <si>
    <t>restaurantdugolfcholet@gmail.com</t>
  </si>
  <si>
    <t>+33 2 41 56 03 43</t>
  </si>
  <si>
    <t>Les Pagannes</t>
  </si>
  <si>
    <t>guillchar@hotmail.fr</t>
  </si>
  <si>
    <t>02 41 58 74 66</t>
  </si>
  <si>
    <t>L’Effervescence</t>
  </si>
  <si>
    <t>bienvenue@leffervescence-brasserie.fr</t>
  </si>
  <si>
    <t>+33 241652804</t>
  </si>
  <si>
    <t>Pincée de Sel</t>
  </si>
  <si>
    <t>pinceedesel@esataec.fr</t>
  </si>
  <si>
    <t>02 41 46 39 80</t>
  </si>
  <si>
    <t>Restaurant - Résidence Montana</t>
  </si>
  <si>
    <t>accueil.cholet@residences-montana.com</t>
  </si>
  <si>
    <t>02 41 49 84 00</t>
  </si>
  <si>
    <t>Sushi Hanaki</t>
  </si>
  <si>
    <t>newhanjo942@gmail.com</t>
  </si>
  <si>
    <t>02 41 85 26 61</t>
  </si>
  <si>
    <t>Guinguette L'Utopik</t>
  </si>
  <si>
    <t>Cornille-Les-Caves</t>
  </si>
  <si>
    <t>lutopik49@gmail.com</t>
  </si>
  <si>
    <t>Restaurant &amp; Bar Le Bon Cornillé</t>
  </si>
  <si>
    <t>leboncornille@gmail.com</t>
  </si>
  <si>
    <t>02 41 74 85 37</t>
  </si>
  <si>
    <t>Restaurant La Table d'Alex</t>
  </si>
  <si>
    <t>Corze</t>
  </si>
  <si>
    <t>mduboisflo@orange.fr</t>
  </si>
  <si>
    <t>02 41 95 12 80</t>
  </si>
  <si>
    <t>Restaurant Les Planches du Loir</t>
  </si>
  <si>
    <t>lesplanchesduloir@outlook.fr</t>
  </si>
  <si>
    <t>02 41 60 94 72</t>
  </si>
  <si>
    <t>Auberge à la Ferme Montrivet</t>
  </si>
  <si>
    <t>Denee</t>
  </si>
  <si>
    <t>norbert.perray@wanadoo.fr</t>
  </si>
  <si>
    <t>02 41 45 32 02</t>
  </si>
  <si>
    <t>Restaurant L'Aviateur</t>
  </si>
  <si>
    <t>Distre</t>
  </si>
  <si>
    <t>contact@restaurantaviateur.com</t>
  </si>
  <si>
    <t>02 41 40 17 75</t>
  </si>
  <si>
    <t>Auberge du Haut Layon</t>
  </si>
  <si>
    <t>jack_nath@live.fr</t>
  </si>
  <si>
    <t>06 62 98 19 53</t>
  </si>
  <si>
    <t>Bar Brasserie La Ville</t>
  </si>
  <si>
    <t>cafedelavilledoue@outlook.fr</t>
  </si>
  <si>
    <t>02 41 59 18 34</t>
  </si>
  <si>
    <t>Bistrot de la Saulaie</t>
  </si>
  <si>
    <t>contact@bistrotdelasaulaie.fr</t>
  </si>
  <si>
    <t>02 72 88 39 58</t>
  </si>
  <si>
    <t>Chez Paul Euro route</t>
  </si>
  <si>
    <t>euroroute@orange.fr</t>
  </si>
  <si>
    <t>02 41 59 03 33</t>
  </si>
  <si>
    <t>Restaurant Auberge de la Rose</t>
  </si>
  <si>
    <t>aubergedelarose49700@gmail.com</t>
  </si>
  <si>
    <t>02 41 59 13 65</t>
  </si>
  <si>
    <t>Restaurant Le Brass'in Doué</t>
  </si>
  <si>
    <t>brassindoue@gmail.com</t>
  </si>
  <si>
    <t>02 41 40 29 16</t>
  </si>
  <si>
    <t>Restaurant Le Camp des Girafes</t>
  </si>
  <si>
    <t>restauration@bioparc-zoo.fr</t>
  </si>
  <si>
    <t>02 41 59 18 58</t>
  </si>
  <si>
    <t>Restaurant Les Cathédrales de la Saulaie</t>
  </si>
  <si>
    <t>contact@cathedrales-saulaie.fr</t>
  </si>
  <si>
    <t>02 41 38 57 77</t>
  </si>
  <si>
    <t>La Mobiguette, guinguette itinérante</t>
  </si>
  <si>
    <t>lamobiguette@gmail.com</t>
  </si>
  <si>
    <t>Restaurant &amp; Bar La Petite Fringale</t>
  </si>
  <si>
    <t>lecomte.regine@neuf.fr</t>
  </si>
  <si>
    <t>02 41 76 34 71</t>
  </si>
  <si>
    <t>Restaurant Au Relais d'Anjou</t>
  </si>
  <si>
    <t>aurelaisdanjou@gmail.com</t>
  </si>
  <si>
    <t>02 41 76 03 24</t>
  </si>
  <si>
    <t>La guinguette Mazette</t>
  </si>
  <si>
    <t>Ecouflant</t>
  </si>
  <si>
    <t>laguinguettemazette@gmail.com</t>
  </si>
  <si>
    <t>Restaurant O P'tit Bonheur</t>
  </si>
  <si>
    <t>Erdre-En-Anjou</t>
  </si>
  <si>
    <t>o-ptit-bonheur@outlook.fr</t>
  </si>
  <si>
    <t>02 41 25 44 92</t>
  </si>
  <si>
    <t>Restaurant ouvrier Le Relais du Porage</t>
  </si>
  <si>
    <t>Etriche</t>
  </si>
  <si>
    <t>49330</t>
  </si>
  <si>
    <t>lerelaisduporage@orange.fr</t>
  </si>
  <si>
    <t>02 41 33 18 93</t>
  </si>
  <si>
    <t>Guinguette du Port Albert</t>
  </si>
  <si>
    <t>Feneu</t>
  </si>
  <si>
    <t>guinguettedefeneu@gmail.com</t>
  </si>
  <si>
    <t>02 41 60 81 15</t>
  </si>
  <si>
    <t>Restaurant Chez Mimie</t>
  </si>
  <si>
    <t>chezmimi49@gmail.com</t>
  </si>
  <si>
    <t>07 66 06 46 44</t>
  </si>
  <si>
    <t>Restaurant La Croix Blanche Fontevraud</t>
  </si>
  <si>
    <t>info@lacroixblanche.fr</t>
  </si>
  <si>
    <t>02 41 51 71 11</t>
  </si>
  <si>
    <t>Restaurant La Licorne</t>
  </si>
  <si>
    <t>resa.licorne@gmail.com</t>
  </si>
  <si>
    <t>02 41 51 72 49</t>
  </si>
  <si>
    <t>Restaurant La Table de Mestré</t>
  </si>
  <si>
    <t>contact@domaine-de-mestre.com</t>
  </si>
  <si>
    <t>02 41 51 72 32</t>
  </si>
  <si>
    <t>Bistrot Bar Les Dames Barrau</t>
  </si>
  <si>
    <t>bistrot@lesdamesbarrau.fr</t>
  </si>
  <si>
    <t>02 41 50 58 44</t>
  </si>
  <si>
    <t>Guinguette La Toue Cabanée</t>
  </si>
  <si>
    <t>49160</t>
  </si>
  <si>
    <t>guinguette@latouecabanee.fr</t>
  </si>
  <si>
    <t>09 85 16 14 59</t>
  </si>
  <si>
    <t>La Guinguette du Hangar</t>
  </si>
  <si>
    <t>nicolasreau@yahoo.fr</t>
  </si>
  <si>
    <t>06 24 63 20 75</t>
  </si>
  <si>
    <t>Restaurant A Contre-Courant</t>
  </si>
  <si>
    <t>a.contre_courant@yahoo.fr</t>
  </si>
  <si>
    <t>02 41 03 02 17</t>
  </si>
  <si>
    <t>Restaurant Auberge du Moulin de Sarré</t>
  </si>
  <si>
    <t>contact@moulin-de-sarre.fr</t>
  </si>
  <si>
    <t>02 41 51 81 32</t>
  </si>
  <si>
    <t>Restaurant La Vallée du Clairay</t>
  </si>
  <si>
    <t>valleeduclairay@gmail.com</t>
  </si>
  <si>
    <t>02 41 51 65 67</t>
  </si>
  <si>
    <t>Restaurant Le Coco'ning</t>
  </si>
  <si>
    <t>lecoconing@hotmail.fr</t>
  </si>
  <si>
    <t>09 80 71 20 71</t>
  </si>
  <si>
    <t>Restaurant Les Cocottes</t>
  </si>
  <si>
    <t>loirehotel-lescocottes@outlook.fr</t>
  </si>
  <si>
    <t>02 41 51 80 30</t>
  </si>
  <si>
    <t>Restaurant Les Pieds Bleus</t>
  </si>
  <si>
    <t>infos@cave-aux-moines.com</t>
  </si>
  <si>
    <t>02 41 67 95 64</t>
  </si>
  <si>
    <t>Restaurant Rouge Bistro</t>
  </si>
  <si>
    <t>rougebistro@orange.fr</t>
  </si>
  <si>
    <t>02 41 51 28 86</t>
  </si>
  <si>
    <t>Restaurant du Domaine de la Blairie</t>
  </si>
  <si>
    <t>hebergement.sau@mileade.com</t>
  </si>
  <si>
    <t>02 41 38 42 98</t>
  </si>
  <si>
    <t>Restaurant les Fouées de Grézillé</t>
  </si>
  <si>
    <t>contact@lesfoueesdegrezille.fr</t>
  </si>
  <si>
    <t>02 41 45 53 57</t>
  </si>
  <si>
    <t>Le Lion D'Or</t>
  </si>
  <si>
    <t>Ingrandes-Le Fresne-Sur-Loire</t>
  </si>
  <si>
    <t>hotelrestoleliondor@gmail.com</t>
  </si>
  <si>
    <t>Guinguette de Malagué</t>
  </si>
  <si>
    <t>Jarze Villages</t>
  </si>
  <si>
    <t>guinguettedemalague@gmail.com</t>
  </si>
  <si>
    <t>Restaurant La Petite Folie Gourmande - Le Moulinet</t>
  </si>
  <si>
    <t>la-petite-folie@orange.fr</t>
  </si>
  <si>
    <t>02 41 33 89 97</t>
  </si>
  <si>
    <t>Restaurant ouvrier Auberge de Lué</t>
  </si>
  <si>
    <t>cyril.perthue@sfr.fr</t>
  </si>
  <si>
    <t>02 41 95 18 33</t>
  </si>
  <si>
    <t>Restaurant guinguette Court Circuit</t>
  </si>
  <si>
    <t>Juvardeil</t>
  </si>
  <si>
    <t>scop-lestrognes@mailo.fr</t>
  </si>
  <si>
    <t>02 41 93 96 07</t>
  </si>
  <si>
    <t>O’Daguenais</t>
  </si>
  <si>
    <t>La Daguenière</t>
  </si>
  <si>
    <t>49800</t>
  </si>
  <si>
    <t>ledaguenais49@hotmail.com</t>
  </si>
  <si>
    <t>+33 2 41 69 07 77</t>
  </si>
  <si>
    <t>Auberge Côté Jardin</t>
  </si>
  <si>
    <t>La Menitre</t>
  </si>
  <si>
    <t>restaurant@acotejardin.com</t>
  </si>
  <si>
    <t>02 41 45 69 19</t>
  </si>
  <si>
    <t>Bar Guinguette La Dérive</t>
  </si>
  <si>
    <t>laderive@mailo.com</t>
  </si>
  <si>
    <t>07 49 90 28 18</t>
  </si>
  <si>
    <t>Restaurant Guinguette L'Embarcadère</t>
  </si>
  <si>
    <t>ac.hs@hotmail.fr</t>
  </si>
  <si>
    <t>02 41 57 97 82</t>
  </si>
  <si>
    <t>Restaurant L'Atelier</t>
  </si>
  <si>
    <t>atelier.lamenitre@gmail.com</t>
  </si>
  <si>
    <t>02 41 45 63 66</t>
  </si>
  <si>
    <t>TABLE PAYSANNE AU FABULEUX FESTIN</t>
  </si>
  <si>
    <t>La Possonniere</t>
  </si>
  <si>
    <t>yolainemallet@gmail.com</t>
  </si>
  <si>
    <t>Legend Café 49</t>
  </si>
  <si>
    <t>La Seguiniere</t>
  </si>
  <si>
    <t>49280</t>
  </si>
  <si>
    <t>lerelaisdesbiches@gmail.com</t>
  </si>
  <si>
    <t>02 41 63 61 06</t>
  </si>
  <si>
    <t>Guinguette Chez Gus</t>
  </si>
  <si>
    <t>La Tessoualle</t>
  </si>
  <si>
    <t>camping.verdon49@gmail.com</t>
  </si>
  <si>
    <t>06 18 79 08 10</t>
  </si>
  <si>
    <t>La Tourelle du Lac</t>
  </si>
  <si>
    <t>harold@domainedelentrelacs.fr</t>
  </si>
  <si>
    <t>06 99 13 04 84</t>
  </si>
  <si>
    <t>Le Refuge de Ribou</t>
  </si>
  <si>
    <t>refugederibou@gmail.com</t>
  </si>
  <si>
    <t>09 72 86 78 06</t>
  </si>
  <si>
    <t>Restaurant Le Coudrier</t>
  </si>
  <si>
    <t>Le Coudray-Macouard</t>
  </si>
  <si>
    <t>lecoudrier.coudray@gmail.com</t>
  </si>
  <si>
    <t>09 73 89 21 05</t>
  </si>
  <si>
    <t>Restaurant L'Etrier</t>
  </si>
  <si>
    <t>Le Lion-D'Angers</t>
  </si>
  <si>
    <t>letrier.leliondangers@gmail.com</t>
  </si>
  <si>
    <t>02 41 27 69 97</t>
  </si>
  <si>
    <t>Les douceurs du Plessis</t>
  </si>
  <si>
    <t>Le Plessis-Grammoire</t>
  </si>
  <si>
    <t>49124</t>
  </si>
  <si>
    <t>lesdouceursduplessis@gmail.com</t>
  </si>
  <si>
    <t>02 41 60 35 69</t>
  </si>
  <si>
    <t>Bistrot 1813</t>
  </si>
  <si>
    <t>contact@bistrot1813.fr</t>
  </si>
  <si>
    <t>+33 2 41 79 20 42</t>
  </si>
  <si>
    <t>Guinguette Domaine des Bois d'Anjou</t>
  </si>
  <si>
    <t>contact@domainedesboisdanjou.fr</t>
  </si>
  <si>
    <t>02 41 54 96 35</t>
  </si>
  <si>
    <t>La P'tite Marmite</t>
  </si>
  <si>
    <t>Les Cerqueux</t>
  </si>
  <si>
    <t>49360</t>
  </si>
  <si>
    <t>vanessa@ptitemarmite.fr</t>
  </si>
  <si>
    <t>09 74 56 19 56</t>
  </si>
  <si>
    <t>Restaurant Au Cher Café</t>
  </si>
  <si>
    <t>Les Hauts-D'Anjou</t>
  </si>
  <si>
    <t>au.cher.cafe@gmail.com</t>
  </si>
  <si>
    <t>02 41 24 19 22</t>
  </si>
  <si>
    <t>Restaurant Le Country Club du Golf d'Anjou</t>
  </si>
  <si>
    <t>restaurant@anjou-golf.com</t>
  </si>
  <si>
    <t>02 41 42 01 01</t>
  </si>
  <si>
    <t>Restaurant Le Resto du Coin</t>
  </si>
  <si>
    <t>pizzasb24@gmail.com</t>
  </si>
  <si>
    <t>09 73 39 32 81</t>
  </si>
  <si>
    <t>Restaurant le Café de la Mairie</t>
  </si>
  <si>
    <t>restauranttraiteurdelamairie@gmail.com</t>
  </si>
  <si>
    <t>02 41 42 02 57</t>
  </si>
  <si>
    <t>Le Pois Gourmand</t>
  </si>
  <si>
    <t>Les Ponts De Cé</t>
  </si>
  <si>
    <t>49130</t>
  </si>
  <si>
    <t>lepoisgourmand@sfr.fr</t>
  </si>
  <si>
    <t>+33 2 41 74 19 61</t>
  </si>
  <si>
    <t>Auberge du Pont de Sorges</t>
  </si>
  <si>
    <t>Les Ponts-De-Ce</t>
  </si>
  <si>
    <t>aubergedupontdesorges@wanadoo.fr</t>
  </si>
  <si>
    <t>02 41 69 02 86</t>
  </si>
  <si>
    <t>Côté Jardin</t>
  </si>
  <si>
    <t>cotejardin.jap@gmail.com</t>
  </si>
  <si>
    <t>09 52 33 90 18</t>
  </si>
  <si>
    <t>Guinguette La Gabare</t>
  </si>
  <si>
    <t>contact.loirevallee@slow-village.fr</t>
  </si>
  <si>
    <t>02 85 35 97 47</t>
  </si>
  <si>
    <t>Restaurant Les Dames de la Loire</t>
  </si>
  <si>
    <t>Les Ulmes</t>
  </si>
  <si>
    <t>lesdamesdelaloire@gmail.com</t>
  </si>
  <si>
    <t>02 41 59 57 10</t>
  </si>
  <si>
    <t>Restaurant Au Goût du Jour</t>
  </si>
  <si>
    <t>Loire</t>
  </si>
  <si>
    <t>augoutdujour.restaurant@gmail.com</t>
  </si>
  <si>
    <t>02 44 28 15 51</t>
  </si>
  <si>
    <t>La Barbe à Maman</t>
  </si>
  <si>
    <t>Loire-Authion</t>
  </si>
  <si>
    <t>labarbeamaman@sophonie.fr</t>
  </si>
  <si>
    <t>O'Daguenais</t>
  </si>
  <si>
    <t>ledaguenais@hotmail.fr</t>
  </si>
  <si>
    <t>02 41 69 07 77</t>
  </si>
  <si>
    <t>Auberge du Cheval Blanc</t>
  </si>
  <si>
    <t>Longue-Jumelles</t>
  </si>
  <si>
    <t>aubergechevalblanc49@orange.fr</t>
  </si>
  <si>
    <t>02 41 52 10 78</t>
  </si>
  <si>
    <t>La petite vadrouille</t>
  </si>
  <si>
    <t>lapetitevadrouille49@gmail.com</t>
  </si>
  <si>
    <t>07 87 86 84 04</t>
  </si>
  <si>
    <t>Restaurant Le Relax</t>
  </si>
  <si>
    <t>nathaliebatard@orange.fr</t>
  </si>
  <si>
    <t>02 41 52 68 81</t>
  </si>
  <si>
    <t>Brasserie Le Moulin</t>
  </si>
  <si>
    <t>Lys-Haut-Layon</t>
  </si>
  <si>
    <t>49310</t>
  </si>
  <si>
    <t>sarl-magatis@orange.fr</t>
  </si>
  <si>
    <t>02 41 75 00 75</t>
  </si>
  <si>
    <t>fleurdesel49@yahoo.fr</t>
  </si>
  <si>
    <t>02 41 67 50 30</t>
  </si>
  <si>
    <t>Hôtel Restaurant Chez Loïc et Nicole</t>
  </si>
  <si>
    <t>49540</t>
  </si>
  <si>
    <t>loic.socheleau@wanadoo.fr</t>
  </si>
  <si>
    <t>02 41 59 41 51</t>
  </si>
  <si>
    <t>La Petite Pause</t>
  </si>
  <si>
    <t>49560</t>
  </si>
  <si>
    <t>dianabidou@gmail.com</t>
  </si>
  <si>
    <t>02 59 16 14 46</t>
  </si>
  <si>
    <t>Le Relais de Trémont</t>
  </si>
  <si>
    <t>relaistremont@gmail.com</t>
  </si>
  <si>
    <t>02 41 59 69 37</t>
  </si>
  <si>
    <t>Restaurant bistronomique L'Envol à l'aéroport Angers-Loire</t>
  </si>
  <si>
    <t>Marce</t>
  </si>
  <si>
    <t>contact@restaurant-lenvol.fr</t>
  </si>
  <si>
    <t>02 72 47 19 38</t>
  </si>
  <si>
    <t>Guinguette Au Bout de l'île - Restaurant et hebergement touristique (yourtes, toue cabanée et chambres d'hôtes)</t>
  </si>
  <si>
    <t>49570</t>
  </si>
  <si>
    <t>contact@auboutdelile.fr</t>
  </si>
  <si>
    <t>L'Hotentic, restaurant de saveurs d'antan</t>
  </si>
  <si>
    <t>hotentic49@gmail.com</t>
  </si>
  <si>
    <t>0241772159</t>
  </si>
  <si>
    <t>La Drain'guette</t>
  </si>
  <si>
    <t>aurelien.perdriau@laposte.net</t>
  </si>
  <si>
    <t>La paillote des Lucettes</t>
  </si>
  <si>
    <t>lapaillotedeslucettes@gmail.com</t>
  </si>
  <si>
    <t>Le Marie-Louise</t>
  </si>
  <si>
    <t>restaurant-lemarie-louise@outlook.fr</t>
  </si>
  <si>
    <t>02 41 39 07 00</t>
  </si>
  <si>
    <t>Restaurant Au clair de Pierre</t>
  </si>
  <si>
    <t>auclairdepierre@orange.fr</t>
  </si>
  <si>
    <t>02 41 72 58 99</t>
  </si>
  <si>
    <t>Restaurant L'Hostellerie de la Gabelle</t>
  </si>
  <si>
    <t>hotel.gabelle@orange.fr</t>
  </si>
  <si>
    <t>02 41 72 50 19</t>
  </si>
  <si>
    <t>Restaurant Le Relais de la Boule d'Or</t>
  </si>
  <si>
    <t>lerelais.labouledor@orange.fr</t>
  </si>
  <si>
    <t>02 41 78 03 61</t>
  </si>
  <si>
    <t>Restaurant Le Saint Florent</t>
  </si>
  <si>
    <t>lesaintflorent49@gmail.com</t>
  </si>
  <si>
    <t>02 41 72 60 82</t>
  </si>
  <si>
    <t>Restaurant l'Harmonie</t>
  </si>
  <si>
    <t>49620</t>
  </si>
  <si>
    <t>reservation@jardinsdelanjou.fr</t>
  </si>
  <si>
    <t>02 41 35 11 00</t>
  </si>
  <si>
    <t>L'Entre-Deux</t>
  </si>
  <si>
    <t>Maulevrier</t>
  </si>
  <si>
    <t>lentre2maulevrier@outlook.fr</t>
  </si>
  <si>
    <t>06 59 23 53 03</t>
  </si>
  <si>
    <t>L'Orangeraie</t>
  </si>
  <si>
    <t>orangeraie.maulevrier@gmail.com</t>
  </si>
  <si>
    <t>02 41 55 02 52</t>
  </si>
  <si>
    <t>Guinguette la Parenthèse</t>
  </si>
  <si>
    <t>Maze-Milon</t>
  </si>
  <si>
    <t>49630</t>
  </si>
  <si>
    <t>la_parenthese@icloud.com</t>
  </si>
  <si>
    <t>Restaurant Au P'tit Resto</t>
  </si>
  <si>
    <t>auptitresto49@gmail.com</t>
  </si>
  <si>
    <t>02 41 80 39 58</t>
  </si>
  <si>
    <t>Restaurant Les Archés</t>
  </si>
  <si>
    <t>fredericcorne@sfr.fr</t>
  </si>
  <si>
    <t>02 41 47 21 98</t>
  </si>
  <si>
    <t>Restaurant Pizzeria &amp; Bar L'Ami Gourmand</t>
  </si>
  <si>
    <t>Montigne-Les-Rairies</t>
  </si>
  <si>
    <t>lamigourmand@eatbu.com</t>
  </si>
  <si>
    <t>La Grange à Dîme</t>
  </si>
  <si>
    <t>contact@lagrangeadime.com</t>
  </si>
  <si>
    <t>+33 2 41 50 97 24</t>
  </si>
  <si>
    <t>Le Relais du Bellay</t>
  </si>
  <si>
    <t>contact@hotelrelaisdubellay.eu</t>
  </si>
  <si>
    <t>+33 241 531 010</t>
  </si>
  <si>
    <t>Pot Potes</t>
  </si>
  <si>
    <t>contact.potpotes@gmail.com</t>
  </si>
  <si>
    <t>+33 2 41 40 92 34</t>
  </si>
  <si>
    <t>Restaurant Chez Félicien</t>
  </si>
  <si>
    <t>fthomasrestauration@gmail.com</t>
  </si>
  <si>
    <t>09 87 07 00 62</t>
  </si>
  <si>
    <t>Restaurant La Rencontre</t>
  </si>
  <si>
    <t>contact@larencontre-restaurant.fr</t>
  </si>
  <si>
    <t>02 41 03 71 36</t>
  </si>
  <si>
    <t>Restaurant Le Gourmandisier</t>
  </si>
  <si>
    <t>sbrichet@laposte.net</t>
  </si>
  <si>
    <t>09 53 60 23 58</t>
  </si>
  <si>
    <t>Restaurant du Splendid'Hôtel</t>
  </si>
  <si>
    <t>splendid.mb@orange.fr</t>
  </si>
  <si>
    <t>02 41 53 10 00</t>
  </si>
  <si>
    <t>Tasse-Noisette</t>
  </si>
  <si>
    <t>coffeeshop@tassenoisette.fr</t>
  </si>
  <si>
    <t>+33 2 59 16 09 42; +33 7 49 14 88 02</t>
  </si>
  <si>
    <t>Guinguette Tôpette</t>
  </si>
  <si>
    <t>guinguette.topette@gmail.com</t>
  </si>
  <si>
    <t>La Guinguette de Raz-Gué</t>
  </si>
  <si>
    <t>guinguettederazgue@gmail.com</t>
  </si>
  <si>
    <t>Le Bar Botine</t>
  </si>
  <si>
    <t>49270</t>
  </si>
  <si>
    <t>lebarbotine@gmail.com</t>
  </si>
  <si>
    <t>PIZZERIA DU CHÂTEAU (G &amp; L FOOD)</t>
  </si>
  <si>
    <t>pizzeriamontrevault@gmail.com</t>
  </si>
  <si>
    <t>02 41 29 18 55</t>
  </si>
  <si>
    <t>Restaurant Le Mine d'Or</t>
  </si>
  <si>
    <t>resto.minedor@orange.fr</t>
  </si>
  <si>
    <t>02 41 75 70 38</t>
  </si>
  <si>
    <t>Restaurant Pizzeria À Deux Pas Dupont</t>
  </si>
  <si>
    <t>a2pasdupontlefuilet@gmail.com</t>
  </si>
  <si>
    <t>02 41 63 18 63</t>
  </si>
  <si>
    <t>Restaurant de groupe L'Eden</t>
  </si>
  <si>
    <t>l.eden@orange.fr</t>
  </si>
  <si>
    <t>02 41 70 89 98</t>
  </si>
  <si>
    <t>Bateau Restaurant La Cale</t>
  </si>
  <si>
    <t>retiveau.denis@orange.fr</t>
  </si>
  <si>
    <t>07 80 55 13 75</t>
  </si>
  <si>
    <t>Jean 2</t>
  </si>
  <si>
    <t>jean2.chateaudemontsoreau@gmail.com</t>
  </si>
  <si>
    <t>+33 2 41 67 12 60</t>
  </si>
  <si>
    <t>Restaurant Café Le Lion d'Or</t>
  </si>
  <si>
    <t>philippe.thibault11@wanadoo.fr</t>
  </si>
  <si>
    <t>02 41 51 70 12</t>
  </si>
  <si>
    <t>Restaurant Le Mail Bar Brasserie</t>
  </si>
  <si>
    <t>chouchou.pet@wanadoo.fr</t>
  </si>
  <si>
    <t>02 41 51 73 29</t>
  </si>
  <si>
    <t>Restaurant Le Montsorelli</t>
  </si>
  <si>
    <t>resto-lemontsorelli@orange.fr</t>
  </si>
  <si>
    <t>02 41 51 70 18</t>
  </si>
  <si>
    <t>Restaurant Le P'tit Bar</t>
  </si>
  <si>
    <t>leptitbardemestre@gmail.com</t>
  </si>
  <si>
    <t>02 41 51 72 45</t>
  </si>
  <si>
    <t>Restaurant Le Saut aux Loups</t>
  </si>
  <si>
    <t>lesautauxloups@gmail.com</t>
  </si>
  <si>
    <t>02 41 51 70 30</t>
  </si>
  <si>
    <t>Restaurant Guinguette Au Fil de l'Eau</t>
  </si>
  <si>
    <t>Morannes Sur Sarthe-Daumeray</t>
  </si>
  <si>
    <t>49640</t>
  </si>
  <si>
    <t>aufildeleau.cf@gmail.com</t>
  </si>
  <si>
    <t>02 41 36 86 72</t>
  </si>
  <si>
    <t>Murmure Restaurant</t>
  </si>
  <si>
    <t>Murs-Erigne</t>
  </si>
  <si>
    <t>murmure.resto@gmail.com</t>
  </si>
  <si>
    <t>02 41 57 72 47</t>
  </si>
  <si>
    <t>Café Restaurant Le Musée</t>
  </si>
  <si>
    <t>Noyant-Villages</t>
  </si>
  <si>
    <t>49490</t>
  </si>
  <si>
    <t>contact@cafelemusee.fr</t>
  </si>
  <si>
    <t>02 41 82 13 80</t>
  </si>
  <si>
    <t>Relais des Biches</t>
  </si>
  <si>
    <t>Nuaille</t>
  </si>
  <si>
    <t>o-delice-d-antan@orange.fr</t>
  </si>
  <si>
    <t>02 41 29 80 78</t>
  </si>
  <si>
    <t>Restaurant guinguette Le Lavoir</t>
  </si>
  <si>
    <t>Ombree D'Anjou</t>
  </si>
  <si>
    <t>49520</t>
  </si>
  <si>
    <t>nkassocies@gmail.com</t>
  </si>
  <si>
    <t>06 42 25 12 87</t>
  </si>
  <si>
    <t>Restaurant Ferme Auberge de la Touche</t>
  </si>
  <si>
    <t>Ombrée D'Anjou</t>
  </si>
  <si>
    <t>fermelatouche@gmail.com</t>
  </si>
  <si>
    <t>02 41 94 22 45</t>
  </si>
  <si>
    <t>Restaurant La Porte Angevine</t>
  </si>
  <si>
    <t>49420</t>
  </si>
  <si>
    <t>l.pa@orange.fr</t>
  </si>
  <si>
    <t>02 41 92 68 52</t>
  </si>
  <si>
    <t>Brasserie La Cohue</t>
  </si>
  <si>
    <t>Oree D'Anjou</t>
  </si>
  <si>
    <t>christophecrand@orange.fr</t>
  </si>
  <si>
    <t>02 40 83 50 09</t>
  </si>
  <si>
    <t>Guinguette La Cabane Drainoise</t>
  </si>
  <si>
    <t>49530</t>
  </si>
  <si>
    <t>lacabanedrainoise@gmail.com</t>
  </si>
  <si>
    <t>Restaurant Orée'Sto</t>
  </si>
  <si>
    <t>restaurant.oreesto@gmail.com</t>
  </si>
  <si>
    <t>02 40 83 58 84</t>
  </si>
  <si>
    <t>Restaurant La Table des Closiers</t>
  </si>
  <si>
    <t>Parnay</t>
  </si>
  <si>
    <t>latabledesclosiers@gmail.com</t>
  </si>
  <si>
    <t>02 41 40 12 23</t>
  </si>
  <si>
    <t>La Chaise Rouge</t>
  </si>
  <si>
    <t>Pouancé</t>
  </si>
  <si>
    <t>billetterie@lachaiserouge.fr</t>
  </si>
  <si>
    <t>+33 2 41 92 62 82</t>
  </si>
  <si>
    <t>Guinguette du Moulin de la Boire</t>
  </si>
  <si>
    <t>Rives-Du-Loir-En-Anjou</t>
  </si>
  <si>
    <t>guinguettedumoulin@hotmail.fr</t>
  </si>
  <si>
    <t>02 41 41 02 13</t>
  </si>
  <si>
    <t>Les Tonnelles</t>
  </si>
  <si>
    <t>contact@lestonnelles.fr</t>
  </si>
  <si>
    <t>02 41 32 38 70</t>
  </si>
  <si>
    <t>Guinguette Port Gogane</t>
  </si>
  <si>
    <t>Rochefort-Sur-Loire</t>
  </si>
  <si>
    <t>portgogane49@gmail.com</t>
  </si>
  <si>
    <t>Restaurant Au café chez l'vie la joie</t>
  </si>
  <si>
    <t>Saint-Augustin-Des-Bois</t>
  </si>
  <si>
    <t>vielajoie49@orange.fr</t>
  </si>
  <si>
    <t>02 41 09 24 82</t>
  </si>
  <si>
    <t>Relais Saint-Barth</t>
  </si>
  <si>
    <t>Saint-Barthélemy-D'Anjou</t>
  </si>
  <si>
    <t>relais.stbarth@yahoo.fr</t>
  </si>
  <si>
    <t>+33 6 72 07 29 90</t>
  </si>
  <si>
    <t>L'Ardoise Bleue</t>
  </si>
  <si>
    <t>Saint-Leger-Sous-Cholet</t>
  </si>
  <si>
    <t>manuel.vincent49@orange.fr</t>
  </si>
  <si>
    <t>02 41 56 24 89</t>
  </si>
  <si>
    <t>Resto-Guinguette L'Entracte</t>
  </si>
  <si>
    <t>Saint-Paul-Du-Bois</t>
  </si>
  <si>
    <t>contact@resto-guinguette.fr</t>
  </si>
  <si>
    <t>L'Orchidée</t>
  </si>
  <si>
    <t>Sainte-Gemmes-Sur-Loire</t>
  </si>
  <si>
    <t>celine.godineau@club-internet.fr</t>
  </si>
  <si>
    <t>02 41 79 02 77</t>
  </si>
  <si>
    <t>La Guinguette de Port Thibault</t>
  </si>
  <si>
    <t>port.thibault@gmail.com</t>
  </si>
  <si>
    <t>+33 2 41 57 35 14</t>
  </si>
  <si>
    <t>Le resto du Jardin</t>
  </si>
  <si>
    <t>resto@jardindelavenir.fr</t>
  </si>
  <si>
    <t>02 41 66 10 08</t>
  </si>
  <si>
    <t>Restaurant de la Loire</t>
  </si>
  <si>
    <t>contact@lerestaurantdelaloire.fr</t>
  </si>
  <si>
    <t>02 41 44 20 50</t>
  </si>
  <si>
    <t>Bar Brasserie Le Maupassant</t>
  </si>
  <si>
    <t>isabelleleray76@gmail.com</t>
  </si>
  <si>
    <t>02 41 51 19 36</t>
  </si>
  <si>
    <t>Bateau Bar Restaurant L'Offard</t>
  </si>
  <si>
    <t>contact.loffard@gmail.com</t>
  </si>
  <si>
    <t>06 82 66 71 89</t>
  </si>
  <si>
    <t>Bateau Bar Restaurant Sur les Quais</t>
  </si>
  <si>
    <t>contact@sur-lesquais.com</t>
  </si>
  <si>
    <t>06 98 65 83 32</t>
  </si>
  <si>
    <t>Bistrot Aux Brèves de Comptoir</t>
  </si>
  <si>
    <t>auxbrevesdecomptoir@gmail.com</t>
  </si>
  <si>
    <t>06 78 93 31 79</t>
  </si>
  <si>
    <t>Bistrot Les Tontons</t>
  </si>
  <si>
    <t>lestontonshugo@gmail.com</t>
  </si>
  <si>
    <t>02 41 59 59 40</t>
  </si>
  <si>
    <t>Brasserie Bar Le Piccadilly</t>
  </si>
  <si>
    <t>direction.lepiccadilly@gmail.com</t>
  </si>
  <si>
    <t>02 41 03 89 77</t>
  </si>
  <si>
    <t>Guinguette Le Quai des Brunes</t>
  </si>
  <si>
    <t>lequaidesbrunes@sophonie.fr</t>
  </si>
  <si>
    <t>07 83 49 96 86</t>
  </si>
  <si>
    <t>L'Anjouette</t>
  </si>
  <si>
    <t>lesbrelesanjouees@gmail.com</t>
  </si>
  <si>
    <t>07 66 94 55 94</t>
  </si>
  <si>
    <t>La Comédie</t>
  </si>
  <si>
    <t>veronique.orillus@orange.fr</t>
  </si>
  <si>
    <t>+33 2 41 51 21 99</t>
  </si>
  <si>
    <t>Le café de l'île</t>
  </si>
  <si>
    <t>cafedelile49@gmail.com</t>
  </si>
  <si>
    <t>02 85 35 91 28</t>
  </si>
  <si>
    <t>London Fizz - Cocktails, Fléchettes, Brunch</t>
  </si>
  <si>
    <t>resa@lelondres.com</t>
  </si>
  <si>
    <t>02 41 51 23 98</t>
  </si>
  <si>
    <t>Restaurant Brasserie La Bourse des Gourmets</t>
  </si>
  <si>
    <t>la-bourse-des-gourmets@orange.fr</t>
  </si>
  <si>
    <t>02 41 67 10 47</t>
  </si>
  <si>
    <t>Restaurant Campanile Saumur</t>
  </si>
  <si>
    <t>campanile@arcantel.fr</t>
  </si>
  <si>
    <t>02 41 40 46 46</t>
  </si>
  <si>
    <t>Restaurant Cristal Hôtel</t>
  </si>
  <si>
    <t>cristalsaumur@gmail.com</t>
  </si>
  <si>
    <t>02 41 51 09 54</t>
  </si>
  <si>
    <t>Restaurant L'Amuse-Bouche</t>
  </si>
  <si>
    <t>lamusebouche49@orange.fr</t>
  </si>
  <si>
    <t>02 41 67 79 63</t>
  </si>
  <si>
    <t>Restaurant L'Annexe</t>
  </si>
  <si>
    <t>morodavid@orange.fr</t>
  </si>
  <si>
    <t>02 41 67 26 27</t>
  </si>
  <si>
    <t>Restaurant La Comédie</t>
  </si>
  <si>
    <t>restaurantlacomedie.saumur@orange.fr</t>
  </si>
  <si>
    <t>02 41 51 21 99</t>
  </si>
  <si>
    <t>Restaurant Le Bouche à Oreille</t>
  </si>
  <si>
    <t>leboucheaoreille@gmail.com</t>
  </si>
  <si>
    <t>02 41 51 61 65</t>
  </si>
  <si>
    <t>Restaurant Le Carrousel</t>
  </si>
  <si>
    <t>le.carrousel@wanadoo.fr</t>
  </si>
  <si>
    <t>02 41 51 00 40</t>
  </si>
  <si>
    <t>Restaurant Le Dragon Chouquette</t>
  </si>
  <si>
    <t>ledragonchouquette@gmail.com</t>
  </si>
  <si>
    <t>06 65 54 59 21</t>
  </si>
  <si>
    <t>Restaurant Le Grand Bleu</t>
  </si>
  <si>
    <t>jean.letourneur13@laposte.net</t>
  </si>
  <si>
    <t>02 41 67 41 83</t>
  </si>
  <si>
    <t>Restaurant Le Malily</t>
  </si>
  <si>
    <t>iledoffard@flowercampings.com</t>
  </si>
  <si>
    <t>07.49.78.50.67</t>
  </si>
  <si>
    <t>Restaurant Le Montagnole</t>
  </si>
  <si>
    <t>le-montagnole@orange.fr</t>
  </si>
  <si>
    <t>02 41 50 53 30</t>
  </si>
  <si>
    <t>Restaurant Le Trianon</t>
  </si>
  <si>
    <t>contact@letrianon-saumur.fr</t>
  </si>
  <si>
    <t>02 41 38 72 10</t>
  </si>
  <si>
    <t>Restaurant Les Nobles Fouées</t>
  </si>
  <si>
    <t>nobles-fouees@orange.fr</t>
  </si>
  <si>
    <t>02 41 83 20 27</t>
  </si>
  <si>
    <t>Restaurant Les Quatre Saisons</t>
  </si>
  <si>
    <t>durand.resto@orange.fr</t>
  </si>
  <si>
    <t>02 41 50 17 90</t>
  </si>
  <si>
    <t>Restaurant Maison Zue</t>
  </si>
  <si>
    <t>zuerestaurant@gmail.com</t>
  </si>
  <si>
    <t>02 41 67 48 68</t>
  </si>
  <si>
    <t>Restaurant du Parc</t>
  </si>
  <si>
    <t>contact@hotelduparc.fr</t>
  </si>
  <si>
    <t>02 41 67 17 18</t>
  </si>
  <si>
    <t>Restaurant l'Orangeraie Saumur</t>
  </si>
  <si>
    <t>lorangeraie.saumur@gmail.com</t>
  </si>
  <si>
    <t>02 41 67 12 88</t>
  </si>
  <si>
    <t>Restaurant À Table !</t>
  </si>
  <si>
    <t>contact@atable-resto-saumur.fr</t>
  </si>
  <si>
    <t>02 41 67 18 83</t>
  </si>
  <si>
    <t>Teapot Cookie Factory</t>
  </si>
  <si>
    <t>rrochedreux@gmail.com</t>
  </si>
  <si>
    <t>02 41 50 13 51</t>
  </si>
  <si>
    <t>A table chez Mili</t>
  </si>
  <si>
    <t>Savennieres</t>
  </si>
  <si>
    <t>contact@atablechezmili.fr</t>
  </si>
  <si>
    <t>02 41 81 09 97</t>
  </si>
  <si>
    <t>Le Chenin</t>
  </si>
  <si>
    <t>lechenin.savennieres@gmail.com</t>
  </si>
  <si>
    <t>02 44 01 84 51</t>
  </si>
  <si>
    <t>Le d’Artagnan</t>
  </si>
  <si>
    <t>Segré-En-Anjou Bleu</t>
  </si>
  <si>
    <t>ledartagnan@outlook.com</t>
  </si>
  <si>
    <t>+33 2 41 92 27 86</t>
  </si>
  <si>
    <t>Restaurant Bistronomica</t>
  </si>
  <si>
    <t>contact.bistronomica@gmail.com</t>
  </si>
  <si>
    <t>02 41 61 06 04</t>
  </si>
  <si>
    <t>Restaurant Le Relais de Misengrain</t>
  </si>
  <si>
    <t>accueil@misengrain.fr</t>
  </si>
  <si>
    <t>02 41 61 71 96</t>
  </si>
  <si>
    <t>Restaurant Le Rendez-vous des Chasseurs</t>
  </si>
  <si>
    <t>lerendezvousdeschasseurs@wanadoo.fr</t>
  </si>
  <si>
    <t>02 41 92 82 94</t>
  </si>
  <si>
    <t>Restaurant Le XIIIème</t>
  </si>
  <si>
    <t>sarl-le-xiiieme@orange.fr</t>
  </si>
  <si>
    <t>02 41 92 58 90</t>
  </si>
  <si>
    <t>Restaurant Les Perreyeux</t>
  </si>
  <si>
    <t>lesperreyeux@orange.fr</t>
  </si>
  <si>
    <t>02 41 94 28 89</t>
  </si>
  <si>
    <t>Restaurant guinguette Le Pub de la Rivière</t>
  </si>
  <si>
    <t>accueil@pubdelariviere.fr</t>
  </si>
  <si>
    <t>02 41 61 45 12</t>
  </si>
  <si>
    <t>Auberge des 3 Provinces</t>
  </si>
  <si>
    <t>49660</t>
  </si>
  <si>
    <t>les3provinces@orange.fr</t>
  </si>
  <si>
    <t>02 41 46 57 59</t>
  </si>
  <si>
    <t>Restaurant Chez Josy</t>
  </si>
  <si>
    <t>snc.tonyetjosy49@gmail.com</t>
  </si>
  <si>
    <t>02 41 30 31 91</t>
  </si>
  <si>
    <t>Restaurant Marmite et Bouchons</t>
  </si>
  <si>
    <t>49230</t>
  </si>
  <si>
    <t>marmiteetbouchons@gmail.com</t>
  </si>
  <si>
    <t>02 41 30 95 78</t>
  </si>
  <si>
    <t>Restaurant l'Essentiel</t>
  </si>
  <si>
    <t>contact@restaurant-l-essentiel.fr</t>
  </si>
  <si>
    <t>02 41 64 91 41</t>
  </si>
  <si>
    <t>Le Relais de Somloire</t>
  </si>
  <si>
    <t>Somloire</t>
  </si>
  <si>
    <t>beyrie.xavier@neuf.fr</t>
  </si>
  <si>
    <t>02 53 69 99 57</t>
  </si>
  <si>
    <t>Restaurant La Cabane de Thorigné - Guiguette des 4 saisons</t>
  </si>
  <si>
    <t>Thorigne-D'Anjou</t>
  </si>
  <si>
    <t>lacabanedethorigne@outlook.fr</t>
  </si>
  <si>
    <t>02 41 05 71 95</t>
  </si>
  <si>
    <t>Café-restaurant Café Nola</t>
  </si>
  <si>
    <t>Tierce</t>
  </si>
  <si>
    <t>contact@cafenola.fr</t>
  </si>
  <si>
    <t>02 59 16 08 40</t>
  </si>
  <si>
    <t>Restaurant &amp; Bar Saveurs des Moulins</t>
  </si>
  <si>
    <t>saveursdesmoulins@gmail.com</t>
  </si>
  <si>
    <t>02 41 42 63 60</t>
  </si>
  <si>
    <t>Comptoir Ferdinand</t>
  </si>
  <si>
    <t>Trelaze</t>
  </si>
  <si>
    <t>contact@comptoir-ferdinand.fr</t>
  </si>
  <si>
    <t>02 41 69 74 25</t>
  </si>
  <si>
    <t>Le Midi Libre</t>
  </si>
  <si>
    <t>restaurant.lemidilibre@gmail.com</t>
  </si>
  <si>
    <t>02 41 05 81 03</t>
  </si>
  <si>
    <t>L'Helianthe</t>
  </si>
  <si>
    <t>restaurantlhelianthe@orange.fr</t>
  </si>
  <si>
    <t>+33 2 41 51 22 28</t>
  </si>
  <si>
    <t>Restaurant Bistroglo</t>
  </si>
  <si>
    <t>bistrogloglo@gmail.com</t>
  </si>
  <si>
    <t>02 41 40 22 36</t>
  </si>
  <si>
    <t>Restaurant Les Pommes Tapées du Val de Loire</t>
  </si>
  <si>
    <t>contact@pommes-tapees.fr</t>
  </si>
  <si>
    <t>02 41 51 48 30</t>
  </si>
  <si>
    <t>Restaurant Guinguette La Noctule</t>
  </si>
  <si>
    <t>Val D'Erdre-Auxence</t>
  </si>
  <si>
    <t>reservation@noctule.fr</t>
  </si>
  <si>
    <t>02 85 35 83 62</t>
  </si>
  <si>
    <t>Restaurant Le Petit Anjou</t>
  </si>
  <si>
    <t>roland.proust@orange.fr</t>
  </si>
  <si>
    <t>La Corniche</t>
  </si>
  <si>
    <t>contact@restaurant-lacorniche.fr</t>
  </si>
  <si>
    <t>02 41 78 67 00</t>
  </si>
  <si>
    <t>Restaurant Le Petit Bistrot</t>
  </si>
  <si>
    <t>Varennes-Sur-Loire</t>
  </si>
  <si>
    <t>sebastien.georget@hotmail.fr</t>
  </si>
  <si>
    <t>02 41 50 65 16</t>
  </si>
  <si>
    <t>Restaurant Le Pélican</t>
  </si>
  <si>
    <t>Vernantes</t>
  </si>
  <si>
    <t>49390</t>
  </si>
  <si>
    <t>resto@le-pelican.com</t>
  </si>
  <si>
    <t>02 41 51 50 20</t>
  </si>
  <si>
    <t>La Petite Verrière</t>
  </si>
  <si>
    <t>restaurantlapetiteverriere@gmail.com</t>
  </si>
  <si>
    <t>02 41 69 44 62</t>
  </si>
  <si>
    <t>L'Ornithorynq</t>
  </si>
  <si>
    <t>Vezins</t>
  </si>
  <si>
    <t>lorni49340@gmail.com</t>
  </si>
  <si>
    <t>02 72 62 61 96</t>
  </si>
  <si>
    <t>Restaurant Le Saint Paul</t>
  </si>
  <si>
    <t>Vivy</t>
  </si>
  <si>
    <t>49680</t>
  </si>
  <si>
    <t>contact@hotel-st-paul.fr</t>
  </si>
  <si>
    <t>02 41 53 07 20</t>
  </si>
  <si>
    <t>A fuoco nero</t>
  </si>
  <si>
    <t>contact@afuoconero.fr</t>
  </si>
  <si>
    <t>+33 2 23 28 82 25</t>
  </si>
  <si>
    <t>Annadata</t>
  </si>
  <si>
    <t>info@annadata.fr</t>
  </si>
  <si>
    <t>+33 9 50933206</t>
  </si>
  <si>
    <t>Au Parc des Bois</t>
  </si>
  <si>
    <t>thomas.mursic@hotmail.fr</t>
  </si>
  <si>
    <t>+33 2 99 36 23 10</t>
  </si>
  <si>
    <t>Auberge Saint-Louis</t>
  </si>
  <si>
    <t>contact@aubergesaintlouis.fr</t>
  </si>
  <si>
    <t>+33 2 99 75 28 28</t>
  </si>
  <si>
    <t>Bouiboui</t>
  </si>
  <si>
    <t>bouiboui.saintmalo@gmail.com</t>
  </si>
  <si>
    <t>+33 6 83 46 93 21</t>
  </si>
  <si>
    <t>Brasserie du Sillon</t>
  </si>
  <si>
    <t>contact@brasseriedusillon.com</t>
  </si>
  <si>
    <t>+33 2 99 56 10 74</t>
  </si>
  <si>
    <t>Breizh Goût</t>
  </si>
  <si>
    <t>info.breizhgout@gmail.com</t>
  </si>
  <si>
    <t>+33 6 31 33 11 55</t>
  </si>
  <si>
    <t>Cedars Roll</t>
  </si>
  <si>
    <t>cedarsroll@gmail.com</t>
  </si>
  <si>
    <t>+33 2 23 05 94 61</t>
  </si>
  <si>
    <t>Chawp Shop Big</t>
  </si>
  <si>
    <t>contact@chawpshop.fr</t>
  </si>
  <si>
    <t>+332 99 30 25 25</t>
  </si>
  <si>
    <t>Chez Eddy</t>
  </si>
  <si>
    <t>chezeddy35pace@gmail.com</t>
  </si>
  <si>
    <t>+33 2 99 85 66 85</t>
  </si>
  <si>
    <t>Croix d’Or</t>
  </si>
  <si>
    <t>hotelcroixdor@wanadoo.fr</t>
  </si>
  <si>
    <t>+33 2 33 58 04 88</t>
  </si>
  <si>
    <t>Cueillette</t>
  </si>
  <si>
    <t>contact@cueilletterestaurant.fr</t>
  </si>
  <si>
    <t>+33 2 99 62 00 13</t>
  </si>
  <si>
    <t>Eatpoint</t>
  </si>
  <si>
    <t>eatpoint35@outlook.com</t>
  </si>
  <si>
    <t>+33 2 23 47 98 15</t>
  </si>
  <si>
    <t>Friterie Jules</t>
  </si>
  <si>
    <t>friteriejules@gmail.com</t>
  </si>
  <si>
    <t>+33 9 82 40 12 27</t>
  </si>
  <si>
    <t>Georgette</t>
  </si>
  <si>
    <t>lemaildegeorgette@gmail.com</t>
  </si>
  <si>
    <t>+33 2 23 45 06 52</t>
  </si>
  <si>
    <t>Gourmet Wok</t>
  </si>
  <si>
    <t>florentlin@hotmail.com</t>
  </si>
  <si>
    <t>+33 2 99192880</t>
  </si>
  <si>
    <t>Hôtel Restaurant de France</t>
  </si>
  <si>
    <t>hoteldefrancedinan@orange.fr</t>
  </si>
  <si>
    <t>+33 2 96 39 22 56</t>
  </si>
  <si>
    <t>L'Art Caddy</t>
  </si>
  <si>
    <t>info@mysite.com</t>
  </si>
  <si>
    <t>+33 2 96 27 75 17</t>
  </si>
  <si>
    <t>L'Auberge du Pélican</t>
  </si>
  <si>
    <t>lepelican.dinan@gmail.com</t>
  </si>
  <si>
    <t>+33 2 96 39 47 05</t>
  </si>
  <si>
    <t>hippocampe.fougeres@gmail.com</t>
  </si>
  <si>
    <t>+33 2 99 99 30 01</t>
  </si>
  <si>
    <t>L'Orée du Parc</t>
  </si>
  <si>
    <t>loreeduparc@loreeduparc.fr</t>
  </si>
  <si>
    <t>+33299667472</t>
  </si>
  <si>
    <t>La Cabane</t>
  </si>
  <si>
    <t>lacabanestmalo@gmail.com</t>
  </si>
  <si>
    <t>+33 2 23 15 32 63</t>
  </si>
  <si>
    <t>La Closerie des Hortensias</t>
  </si>
  <si>
    <t>contact@lacloseriedeshortensias.com</t>
  </si>
  <si>
    <t>+33 2 99 85 18 63</t>
  </si>
  <si>
    <t>La Corderie</t>
  </si>
  <si>
    <t>lacorderie.restaurant@wanadoo.fr</t>
  </si>
  <si>
    <t>+33 299816238</t>
  </si>
  <si>
    <t>La Crêpe Bouquine</t>
  </si>
  <si>
    <t>lacrepebouquine@gmail.com</t>
  </si>
  <si>
    <t>+33 2 99 66 77 00</t>
  </si>
  <si>
    <t>La Duchesse Anne</t>
  </si>
  <si>
    <t>eurl.laura.andrea@orange.fr</t>
  </si>
  <si>
    <t>+33 2 96 39 59 76</t>
  </si>
  <si>
    <t>La Dégust'</t>
  </si>
  <si>
    <t>huitresdanieltony@outlook.fr</t>
  </si>
  <si>
    <t>+33 6 75 73 80 03</t>
  </si>
  <si>
    <t>La Mère Champlain</t>
  </si>
  <si>
    <t>lamerechamplain@wanadoo.fr</t>
  </si>
  <si>
    <t>+33 2 99 89 60 04</t>
  </si>
  <si>
    <t>La Petite Ourse</t>
  </si>
  <si>
    <t>restaurantlapetiteourse@gmail.com</t>
  </si>
  <si>
    <t>+33952843361</t>
  </si>
  <si>
    <t>La barque à papa</t>
  </si>
  <si>
    <t>labarqueapapa.saintmalo@gmail.com</t>
  </si>
  <si>
    <t>+33 2 99 81 99 34</t>
  </si>
  <si>
    <t>Le Bistrot Mijoté</t>
  </si>
  <si>
    <t>contact@bistrotmijote.com</t>
  </si>
  <si>
    <t>+33 2 99230961</t>
  </si>
  <si>
    <t>Le Bistrot de Clem</t>
  </si>
  <si>
    <t>lebistrotdeclem@gmail.com</t>
  </si>
  <si>
    <t>+33 2 33 59 54 75</t>
  </si>
  <si>
    <t>Le Bistrot du Moulin</t>
  </si>
  <si>
    <t>resa.armilin@wanadoo.fr</t>
  </si>
  <si>
    <t>+33 2 99 00 30 91</t>
  </si>
  <si>
    <t>Le Cabanon</t>
  </si>
  <si>
    <t>lecabanon2023@gmail.com</t>
  </si>
  <si>
    <t>+33 6 01 98 31 93</t>
  </si>
  <si>
    <t>Le Capricorne</t>
  </si>
  <si>
    <t>restaurantlecapricorne50@gmail.com</t>
  </si>
  <si>
    <t>+33 9 83 97 63 80</t>
  </si>
  <si>
    <t>Le Grand Chien</t>
  </si>
  <si>
    <t>legrandchien@free.fr</t>
  </si>
  <si>
    <t>+33 2 33 58 04 52</t>
  </si>
  <si>
    <t>Le Kleber</t>
  </si>
  <si>
    <t>restaurantlekleber@gmail.com</t>
  </si>
  <si>
    <t>+33 2 23 61 28 21</t>
  </si>
  <si>
    <t>Le Piano blanc</t>
  </si>
  <si>
    <t>contact@pianoblanc.fr</t>
  </si>
  <si>
    <t>+33 2 99 31 20 21</t>
  </si>
  <si>
    <t>Le Rusty</t>
  </si>
  <si>
    <t>lerusty@orange.fr</t>
  </si>
  <si>
    <t>+33 2 99400079</t>
  </si>
  <si>
    <t>Le Saveur Vivre</t>
  </si>
  <si>
    <t>le-saveur-vivre.anita@orange.fr</t>
  </si>
  <si>
    <t>+33 9 77 39 06 43</t>
  </si>
  <si>
    <t>Le Yacht</t>
  </si>
  <si>
    <t>restaurant.leyacht@gmail.com</t>
  </si>
  <si>
    <t>+33 2 23181208</t>
  </si>
  <si>
    <t>Le temps devant soi</t>
  </si>
  <si>
    <t>sarfati.laurence@free.fr</t>
  </si>
  <si>
    <t>+33 6 23 15 08 15</t>
  </si>
  <si>
    <t>Les Doris</t>
  </si>
  <si>
    <t>contact@boucanier-et-cie.fr</t>
  </si>
  <si>
    <t>+33 2 23 15 06 35</t>
  </si>
  <si>
    <t>Les Saules</t>
  </si>
  <si>
    <t>secretariat@lessaules.fr</t>
  </si>
  <si>
    <t>+33 2 99 44 10 65</t>
  </si>
  <si>
    <t>Maison Béarnaise</t>
  </si>
  <si>
    <t>contact@maisonbearnaise.fr</t>
  </si>
  <si>
    <t>+33 2 99 85 52 99</t>
  </si>
  <si>
    <t>Maison Lacorne;Hôtel - Restaurant La Vieille Auberge</t>
  </si>
  <si>
    <t>contact@lavieilleauberge-montsaintmichel.com</t>
  </si>
  <si>
    <t>+33233601434</t>
  </si>
  <si>
    <t>Mercure Le Pré salé</t>
  </si>
  <si>
    <t>contact@hotelmercure-montsaintmichel.com</t>
  </si>
  <si>
    <t>+33 2 33 60 14 18</t>
  </si>
  <si>
    <t>Miette</t>
  </si>
  <si>
    <t>francois.lemauviel@yahoo.fr</t>
  </si>
  <si>
    <t>+33 2 96 84 55 58</t>
  </si>
  <si>
    <t>Mère et Fille</t>
  </si>
  <si>
    <t>mere.et.fille.commerce@gmail.com</t>
  </si>
  <si>
    <t>+33 6 78 44 00 83</t>
  </si>
  <si>
    <t>Méson Chalut</t>
  </si>
  <si>
    <t>contact@meson-chalut.bzh</t>
  </si>
  <si>
    <t>+33 2 99 56 71 58</t>
  </si>
  <si>
    <t>Nao</t>
  </si>
  <si>
    <t>contact@restaurantnao.fr</t>
  </si>
  <si>
    <t>+33 2 96 85 10 32</t>
  </si>
  <si>
    <t>O’Bikini Bé</t>
  </si>
  <si>
    <t>direction@bikinibe.fr</t>
  </si>
  <si>
    <t>+33 2 23 16 31 77</t>
  </si>
  <si>
    <t>PEP's (Partage Et Plaisirs Simples)</t>
  </si>
  <si>
    <t>peps.dinard@gmail.com</t>
  </si>
  <si>
    <t>+33222669828</t>
  </si>
  <si>
    <t>Parfums d'Asie</t>
  </si>
  <si>
    <t>parfums-dasie@orange.fr</t>
  </si>
  <si>
    <t>+33 2 99 63 14 88</t>
  </si>
  <si>
    <t>planb.dinan@hotmail.com</t>
  </si>
  <si>
    <t>+33 2 96 82 34 85</t>
  </si>
  <si>
    <t>Restaurant Le Pré Salé</t>
  </si>
  <si>
    <t>lepresale@le-mont-saint-michel.com</t>
  </si>
  <si>
    <t>Restaurant du Lac</t>
  </si>
  <si>
    <t>contact@tremelin.bzh</t>
  </si>
  <si>
    <t>+33 2 99 09 73 79</t>
  </si>
  <si>
    <t>Yam Yam</t>
  </si>
  <si>
    <t>yamyambistrocoreen@gmail.com</t>
  </si>
  <si>
    <t>+33 9 78 80 10 34</t>
  </si>
  <si>
    <t>Zeytun &amp; Cumin</t>
  </si>
  <si>
    <t>zeytuncumin@gmail.com</t>
  </si>
  <si>
    <t>+33 2 23 30 77 09</t>
  </si>
  <si>
    <t>À table Capucine</t>
  </si>
  <si>
    <t>atablecapucine@gmail.com</t>
  </si>
  <si>
    <t>+33 9 81 17 09 13</t>
  </si>
  <si>
    <t>Le Gentily</t>
  </si>
  <si>
    <t>Bain-De-Bretagne</t>
  </si>
  <si>
    <t>legentilys.restaurant@orange.fr</t>
  </si>
  <si>
    <t>+33 2 99 43 83 83</t>
  </si>
  <si>
    <t>Le Manoir</t>
  </si>
  <si>
    <t>Bazouges-La-Pérouse</t>
  </si>
  <si>
    <t>35560</t>
  </si>
  <si>
    <t>andrew.neal265@orange.fr</t>
  </si>
  <si>
    <t>+33 2 99 97 42 76</t>
  </si>
  <si>
    <t>Le Moulin de la Forêt</t>
  </si>
  <si>
    <t>annick.magne@gmail.com</t>
  </si>
  <si>
    <t>+33 2 99 48 53 12</t>
  </si>
  <si>
    <t>Le Ruppione</t>
  </si>
  <si>
    <t>bar.leruppione@gmail.com</t>
  </si>
  <si>
    <t>+33695386197</t>
  </si>
  <si>
    <t>Aux Délices du Trégor</t>
  </si>
  <si>
    <t>Betton</t>
  </si>
  <si>
    <t>35830</t>
  </si>
  <si>
    <t>auxdelicesdutregor@orange.fr</t>
  </si>
  <si>
    <t>+33 6 45 51 79 25</t>
  </si>
  <si>
    <t>Kav' Adom</t>
  </si>
  <si>
    <t>contact@kavadom.fr</t>
  </si>
  <si>
    <t>+33 2 90 01 41 00</t>
  </si>
  <si>
    <t>La Buvette du Pont</t>
  </si>
  <si>
    <t>buzette35@gmail.com</t>
  </si>
  <si>
    <t>+33 2 99 55 61 67</t>
  </si>
  <si>
    <t>TOP THAI</t>
  </si>
  <si>
    <t>topthai35@gmail.com</t>
  </si>
  <si>
    <t>+33223375150</t>
  </si>
  <si>
    <t>La Table Ibérique</t>
  </si>
  <si>
    <t>Billé</t>
  </si>
  <si>
    <t>la.table.iberique@free.fr</t>
  </si>
  <si>
    <t>+33 2 99 97 64 01</t>
  </si>
  <si>
    <t>La Victoire</t>
  </si>
  <si>
    <t>contact@restaurant-lavictoire.fr</t>
  </si>
  <si>
    <t>+33 2 99 62 00 00</t>
  </si>
  <si>
    <t>Barbakoa</t>
  </si>
  <si>
    <t>lebarbakoa@gmail.com</t>
  </si>
  <si>
    <t>+33 2 99 37 23 96</t>
  </si>
  <si>
    <t>Armor Restaurant</t>
  </si>
  <si>
    <t>armor.restaurant@utopi.bzh</t>
  </si>
  <si>
    <t>+33 2 99 46 95 22</t>
  </si>
  <si>
    <t>La Table de Freddy</t>
  </si>
  <si>
    <t>Domalain</t>
  </si>
  <si>
    <t>35680</t>
  </si>
  <si>
    <t>latabledefreddy@gmail.com</t>
  </si>
  <si>
    <t>+33 2 56 28 08 84</t>
  </si>
  <si>
    <t>Ordinaire de Domloup</t>
  </si>
  <si>
    <t>Domloup</t>
  </si>
  <si>
    <t>ordinairedomloup@gmail.com</t>
  </si>
  <si>
    <t>+33 2 99 37 31 34</t>
  </si>
  <si>
    <t>Chez moi - bistrot moderne</t>
  </si>
  <si>
    <t>35300</t>
  </si>
  <si>
    <t>chezmoibistrotmoderne@gmail.com</t>
  </si>
  <si>
    <t>+33 2 99 99 78 22</t>
  </si>
  <si>
    <t>Julien Chataignière</t>
  </si>
  <si>
    <t>Court Circuit</t>
  </si>
  <si>
    <t>courtcircuitfougeres@gmail.com</t>
  </si>
  <si>
    <t>+33 2 56 47 14 77</t>
  </si>
  <si>
    <t>La P'tite Feuterie</t>
  </si>
  <si>
    <t>lapetitefeuterie@orange.fr</t>
  </si>
  <si>
    <t>+33 2 99 99 95 95</t>
  </si>
  <si>
    <t>Cyril Eoche</t>
  </si>
  <si>
    <t>Marin Boël</t>
  </si>
  <si>
    <t>restaurant@domaineduboel.fr</t>
  </si>
  <si>
    <t>+33 2 99 42 25 69</t>
  </si>
  <si>
    <t>La Minoterie</t>
  </si>
  <si>
    <t>Guipry-Messac</t>
  </si>
  <si>
    <t>35480</t>
  </si>
  <si>
    <t>restaurant@lemoulinminoterie.fr</t>
  </si>
  <si>
    <t>+33 2 23 61 74 21</t>
  </si>
  <si>
    <t xml:space="preserve">ne veut ni le catalogue ni venir </t>
  </si>
  <si>
    <t>Goût et Saveurs de la Réunion</t>
  </si>
  <si>
    <t>La Fontenelle</t>
  </si>
  <si>
    <t>gout.saveurs.reunion@gmail.com</t>
  </si>
  <si>
    <t>+33 6 37 71 09 28</t>
  </si>
  <si>
    <t>Cantina Factory</t>
  </si>
  <si>
    <t>cantinafactory@gmail.com</t>
  </si>
  <si>
    <t>+33 2 99 69 72 39</t>
  </si>
  <si>
    <t>La Reposée</t>
  </si>
  <si>
    <t>contact@lareposee.fr</t>
  </si>
  <si>
    <t>+33299683151</t>
  </si>
  <si>
    <t>Le Petit Crocus</t>
  </si>
  <si>
    <t>lepetitcrocus@gmail.com</t>
  </si>
  <si>
    <t>+33299684301</t>
  </si>
  <si>
    <t>Relais du Saut Roland</t>
  </si>
  <si>
    <t>Luitré-Dompierre</t>
  </si>
  <si>
    <t>35210</t>
  </si>
  <si>
    <t>gcoquelin9@gmail.com</t>
  </si>
  <si>
    <t>+33 2 99 97 92 20</t>
  </si>
  <si>
    <t>Domaine de Chanteloup</t>
  </si>
  <si>
    <t>Mont Dol</t>
  </si>
  <si>
    <t>contact@le-domaine-de-chanteloup.com</t>
  </si>
  <si>
    <t>+33611861345</t>
  </si>
  <si>
    <t>Aux P'tits Oignons</t>
  </si>
  <si>
    <t>Montgermont</t>
  </si>
  <si>
    <t>contact@squash-rennes.com</t>
  </si>
  <si>
    <t>+33299238080</t>
  </si>
  <si>
    <t>L'instant</t>
  </si>
  <si>
    <t>Mordelles</t>
  </si>
  <si>
    <t>linstantmordelles@orange.fr</t>
  </si>
  <si>
    <t>+33 2 99 69 43 48</t>
  </si>
  <si>
    <t>Le Bistrot Saveurs</t>
  </si>
  <si>
    <t>lebistrotsaveurs35@yahoo.com</t>
  </si>
  <si>
    <t>+33 2 99 85 67 95</t>
  </si>
  <si>
    <t>Le Relais de Pacé</t>
  </si>
  <si>
    <t>relaisdepace@gmail.com</t>
  </si>
  <si>
    <t>+33 2 99 60 61 29</t>
  </si>
  <si>
    <t>Kaylenn Sénégal</t>
  </si>
  <si>
    <t>Pipriac</t>
  </si>
  <si>
    <t>35550</t>
  </si>
  <si>
    <t>kaylenn.senegal@gmail.com</t>
  </si>
  <si>
    <t>+33 7 82 21 80 43</t>
  </si>
  <si>
    <t>+33 2 23 08 00 08</t>
  </si>
  <si>
    <t>La Proulière</t>
  </si>
  <si>
    <t>La Chapelle-Erbée</t>
  </si>
  <si>
    <t>laprouliere@gmail.com</t>
  </si>
  <si>
    <t>06 35 29 01 84 ou 02 23 37 18 50</t>
  </si>
  <si>
    <t>Sébastien Bocquillon</t>
  </si>
  <si>
    <t>sboquillon@ds-restaurant.com</t>
  </si>
  <si>
    <t>Akady</t>
  </si>
  <si>
    <t>akady.bretagne@gmail.com</t>
  </si>
  <si>
    <t>+33 7 53 93 89 00</t>
  </si>
  <si>
    <t>+337 78 52 39 94</t>
  </si>
  <si>
    <t>Café-Restaurant Dada</t>
  </si>
  <si>
    <t>dadacaferestaurant@gmail.com</t>
  </si>
  <si>
    <t>+33 2 22 66 83 40</t>
  </si>
  <si>
    <t>rennes.cleunay@campanile.fr</t>
  </si>
  <si>
    <t>+33 2 99 30 45 45</t>
  </si>
  <si>
    <t>Chez P'tit Louis</t>
  </si>
  <si>
    <t>elsa.termet@icloud.com</t>
  </si>
  <si>
    <t>+33 6 07 10 79 14</t>
  </si>
  <si>
    <t>Choupiquant</t>
  </si>
  <si>
    <t>cantine@choupiquant.fr</t>
  </si>
  <si>
    <t>+33 6 49 01 43 70</t>
  </si>
  <si>
    <t>contact@estime-restaurant.com</t>
  </si>
  <si>
    <t>+33 2 22 66 90 42</t>
  </si>
  <si>
    <t>Falafel</t>
  </si>
  <si>
    <t>falafel-rennes@hotmail.fr</t>
  </si>
  <si>
    <t>+33 2 99 79 20 47</t>
  </si>
  <si>
    <t>Fish'n'Beer</t>
  </si>
  <si>
    <t>contact@fish-n-beer.com</t>
  </si>
  <si>
    <t>+33 2 99 85 47 58</t>
  </si>
  <si>
    <t>Garden parties</t>
  </si>
  <si>
    <t>lagardenpartie@lilo.org</t>
  </si>
  <si>
    <t>+33 6 13 87 45 61</t>
  </si>
  <si>
    <t>L'Atre</t>
  </si>
  <si>
    <t>latre0129@orange.fr</t>
  </si>
  <si>
    <t>+33 2 99 30 62 58</t>
  </si>
  <si>
    <t>La Poupée qui Tousse</t>
  </si>
  <si>
    <t>lapoupeequitousse@orange.fr</t>
  </si>
  <si>
    <t>+33 2 99 54 47 32</t>
  </si>
  <si>
    <t>lareserve.rennes@gmail.com</t>
  </si>
  <si>
    <t>+33 2 99 84 02 02</t>
  </si>
  <si>
    <t>La Timonerie</t>
  </si>
  <si>
    <t>latimoneriebistro@gmail.com</t>
  </si>
  <si>
    <t>+33 9 65 31 42 50</t>
  </si>
  <si>
    <t>Le Café des Jacobins</t>
  </si>
  <si>
    <t>hello@lecafedesjacobins.bzh</t>
  </si>
  <si>
    <t>+33 2 99 22 10 97</t>
  </si>
  <si>
    <t>Le Gorille bleu</t>
  </si>
  <si>
    <t>legorillebleu35@gmail.com</t>
  </si>
  <si>
    <t>+33299663998</t>
  </si>
  <si>
    <t>Le Petit Hanoï</t>
  </si>
  <si>
    <t>lepetithanoi.rennes@gmail.com</t>
  </si>
  <si>
    <t>+33 2 99 30 31 12</t>
  </si>
  <si>
    <t>Les Bavardes</t>
  </si>
  <si>
    <t>lesbavardesrennes@gmail.com</t>
  </si>
  <si>
    <t>+33 2 99 67 51 38</t>
  </si>
  <si>
    <t>Les Brocanteurs</t>
  </si>
  <si>
    <t>lesbrocanteurs@orange.fr</t>
  </si>
  <si>
    <t>+33 2 99 79 01 11</t>
  </si>
  <si>
    <t>L’Arrivée</t>
  </si>
  <si>
    <t>contact@bistrotlarrivee.com</t>
  </si>
  <si>
    <t>+33 2 99 30 06 48</t>
  </si>
  <si>
    <t>Palais de Chine</t>
  </si>
  <si>
    <t>tang.stephane35@gmail.com</t>
  </si>
  <si>
    <t>+33 2 99 30 68 30</t>
  </si>
  <si>
    <t>Pépites !</t>
  </si>
  <si>
    <t>contact@pepites.coop</t>
  </si>
  <si>
    <t>+33 2 21 65 07 57</t>
  </si>
  <si>
    <t>Sahara Couscous</t>
  </si>
  <si>
    <t>saharacouscous@numericable.fr</t>
  </si>
  <si>
    <t>+33 2 99 26 32 00</t>
  </si>
  <si>
    <t>Satio</t>
  </si>
  <si>
    <t>timothe.satio@gmail.com</t>
  </si>
  <si>
    <t>+33767575729</t>
  </si>
  <si>
    <t>Super Canon</t>
  </si>
  <si>
    <t>marion@supercanon.bzh</t>
  </si>
  <si>
    <t>+33 6 22 36 47 99</t>
  </si>
  <si>
    <t>Tizen</t>
  </si>
  <si>
    <t>tizen35@gmail.com</t>
  </si>
  <si>
    <t>+33 2 99 63 97 86</t>
  </si>
  <si>
    <t>La Fontaine aux Perles</t>
  </si>
  <si>
    <t>sommelier.lfap@gmail.com</t>
  </si>
  <si>
    <t>02 99 53 90 90</t>
  </si>
  <si>
    <t>Garange and Co</t>
  </si>
  <si>
    <t>contact@garageandco35.fr</t>
  </si>
  <si>
    <t>+33 7 87 98 21 41</t>
  </si>
  <si>
    <t>Grégoire</t>
  </si>
  <si>
    <t>restaurantgregoire@gmail.com</t>
  </si>
  <si>
    <t>+33 2 99 60 54 92</t>
  </si>
  <si>
    <t>Le Panier Vert</t>
  </si>
  <si>
    <t>contact@lepaniervert.com</t>
  </si>
  <si>
    <t>+33299362128</t>
  </si>
  <si>
    <t>Le Saint-Jacques Café</t>
  </si>
  <si>
    <t>saintjacquescafe35@gmail.com</t>
  </si>
  <si>
    <t>+33 2 99 37 77 00</t>
  </si>
  <si>
    <t>Auberge du Clos des Vignes</t>
  </si>
  <si>
    <t>Saint-Jouan-Des-Guérets</t>
  </si>
  <si>
    <t>35430</t>
  </si>
  <si>
    <t>auberge@closdesvignes.fr</t>
  </si>
  <si>
    <t>+33 2 59 29 11 74</t>
  </si>
  <si>
    <t>L'optimiste</t>
  </si>
  <si>
    <t>loptimiste.bistrot@gmail.com</t>
  </si>
  <si>
    <t>+33 2 99 80 03 70</t>
  </si>
  <si>
    <t>la.timonerie@utopi.bzh</t>
  </si>
  <si>
    <t>+33 2 99 82 02 22</t>
  </si>
  <si>
    <t>Studio Sauvage Cantine</t>
  </si>
  <si>
    <t>info@studiosauvage.fr</t>
  </si>
  <si>
    <t>+33 9 82 56 52 20</t>
  </si>
  <si>
    <t>[A]'Table</t>
  </si>
  <si>
    <t>Torcé</t>
  </si>
  <si>
    <t>35370</t>
  </si>
  <si>
    <t>commande@a-table.bzh</t>
  </si>
  <si>
    <t>+33 2 99 49 56 66</t>
  </si>
  <si>
    <t>Auberge du Couesnon</t>
  </si>
  <si>
    <t>Vendel</t>
  </si>
  <si>
    <t>35140</t>
  </si>
  <si>
    <t>contact@aubergeducouesnon.fr</t>
  </si>
  <si>
    <t>+33 9 87 79 95 42</t>
  </si>
  <si>
    <t>A la Thaï</t>
  </si>
  <si>
    <t>35132</t>
  </si>
  <si>
    <t>contact@alathai.bzh</t>
  </si>
  <si>
    <t>+33782215000</t>
  </si>
  <si>
    <t>La Place</t>
  </si>
  <si>
    <t>restaurantlaplacevitre@gmail.com</t>
  </si>
  <si>
    <t>+33 9 53 36 95 95</t>
  </si>
  <si>
    <t>Le Petit Bouchon</t>
  </si>
  <si>
    <t>restau@lepetitbouchon.com</t>
  </si>
  <si>
    <t>+33 2 99 74 52 01</t>
  </si>
  <si>
    <t>BRASSERIE CREPERIE LA CANTINE</t>
  </si>
  <si>
    <t>lacantinechateaugontier53@orange.fr</t>
  </si>
  <si>
    <t>02 43 12 21 59</t>
  </si>
  <si>
    <t>CAFE DES TOURS</t>
  </si>
  <si>
    <t>Sainte-Suzanne-Et-Chammes</t>
  </si>
  <si>
    <t>53270</t>
  </si>
  <si>
    <t>cafedestours@gmail.com</t>
  </si>
  <si>
    <t>02 43 66 81 10</t>
  </si>
  <si>
    <t>Loann Emilie Marion Gallienne &amp; Nina Valérie Lucie Gallienne</t>
  </si>
  <si>
    <t>snc.le-relais@orange.fr</t>
  </si>
  <si>
    <t>+33 2 43 06 10 62</t>
  </si>
  <si>
    <t>Les 3 petits cochon's</t>
  </si>
  <si>
    <t>les3petitscochonslaval@outlook.fr</t>
  </si>
  <si>
    <t>+33 2 43 65 63 28</t>
  </si>
  <si>
    <t>Lo voglio</t>
  </si>
  <si>
    <t>lovoglio@outlook.fr</t>
  </si>
  <si>
    <t>+33 243566964</t>
  </si>
  <si>
    <t>Hôtel**Restaurant du Gué de Gênes</t>
  </si>
  <si>
    <t>Ambrieres-Les-Vallees</t>
  </si>
  <si>
    <t>53300</t>
  </si>
  <si>
    <t>leguedegenes53@gmail.com</t>
  </si>
  <si>
    <t>02 43 00 16 98</t>
  </si>
  <si>
    <t>L'ANDOL</t>
  </si>
  <si>
    <t>Andouille</t>
  </si>
  <si>
    <t>53240</t>
  </si>
  <si>
    <t>landol@orange.fr</t>
  </si>
  <si>
    <t>02 43 90 07 64</t>
  </si>
  <si>
    <t>L'HERMINE</t>
  </si>
  <si>
    <t>53440</t>
  </si>
  <si>
    <t>sashermine53@orange.fr</t>
  </si>
  <si>
    <t>02 43 32 63 53</t>
  </si>
  <si>
    <t>LE BAR D'ARQ</t>
  </si>
  <si>
    <t>Arquenay</t>
  </si>
  <si>
    <t>53170</t>
  </si>
  <si>
    <t>lebardarqchenal9821@gmail.com</t>
  </si>
  <si>
    <t>02 43 90 40 97</t>
  </si>
  <si>
    <t>LE PETIT ATHÉEN</t>
  </si>
  <si>
    <t>Athee</t>
  </si>
  <si>
    <t>53400</t>
  </si>
  <si>
    <t>lepetitatheen@orange.fr</t>
  </si>
  <si>
    <t>02 43 70 14 05</t>
  </si>
  <si>
    <t>BAR-RESTAURANT LE LION D'OR</t>
  </si>
  <si>
    <t>53160</t>
  </si>
  <si>
    <t>rossignolcathia14@gmail.com</t>
  </si>
  <si>
    <t>02 43 37 90 05</t>
  </si>
  <si>
    <t>L'ATELIER</t>
  </si>
  <si>
    <t>Ballots</t>
  </si>
  <si>
    <t>53350</t>
  </si>
  <si>
    <t>restaurant.latelier@orange.fr</t>
  </si>
  <si>
    <t>02 43 06 61 84</t>
  </si>
  <si>
    <t>RESTAURANT LE MIK' CELY</t>
  </si>
  <si>
    <t>Bierne-Les-Villages</t>
  </si>
  <si>
    <t>53290</t>
  </si>
  <si>
    <t>mik.cely@wanadoo.fr</t>
  </si>
  <si>
    <t>02 43 70 53 21</t>
  </si>
  <si>
    <t>Guinguette Au coin de la rue</t>
  </si>
  <si>
    <t>Blandouet-Saint Jean</t>
  </si>
  <si>
    <t>tousaucoindelarue@gmail.com</t>
  </si>
  <si>
    <t>RESTAURANT L'ERVE</t>
  </si>
  <si>
    <t>leroyer.karine2@gmail.com</t>
  </si>
  <si>
    <t>02 43 68 93 02</t>
  </si>
  <si>
    <t>La Galerie des Saveurs</t>
  </si>
  <si>
    <t>lagaleriedessaveurs@hotmail.com</t>
  </si>
  <si>
    <t>02 43 37 31 58</t>
  </si>
  <si>
    <t>Ô Felixx</t>
  </si>
  <si>
    <t>lebonchampois@hotmail.com</t>
  </si>
  <si>
    <t>02.43.26.22.03</t>
  </si>
  <si>
    <t>Sur un air de cuisine</t>
  </si>
  <si>
    <t>Bouere</t>
  </si>
  <si>
    <t>chezniko53@gmail.com</t>
  </si>
  <si>
    <t>02 43 07 75 81</t>
  </si>
  <si>
    <t>Restaurant Le Briccius</t>
  </si>
  <si>
    <t>Brece</t>
  </si>
  <si>
    <t>53120</t>
  </si>
  <si>
    <t>lebriccius53120@gmail.com</t>
  </si>
  <si>
    <t>09 86 13 36 44</t>
  </si>
  <si>
    <t>RESTAURANT LE BRÉEN</t>
  </si>
  <si>
    <t>Bree</t>
  </si>
  <si>
    <t>53150</t>
  </si>
  <si>
    <t>le-breen@orange.fr</t>
  </si>
  <si>
    <t>02 43 69 65 93</t>
  </si>
  <si>
    <t>RESTAURANT DES VOYAGEURS</t>
  </si>
  <si>
    <t>Chailland</t>
  </si>
  <si>
    <t>53420</t>
  </si>
  <si>
    <t>hoteldesvoyageurs.chailland@gmail.com</t>
  </si>
  <si>
    <t>02 43 02 70 12</t>
  </si>
  <si>
    <t>L'envol</t>
  </si>
  <si>
    <t>Change</t>
  </si>
  <si>
    <t>53810</t>
  </si>
  <si>
    <t>envol@sfr.fr</t>
  </si>
  <si>
    <t>02.43.53.80.37</t>
  </si>
  <si>
    <t>La Bastide d'Elva</t>
  </si>
  <si>
    <t>bastidedelva@gmail.com</t>
  </si>
  <si>
    <t>02.43.53.43.33</t>
  </si>
  <si>
    <t>ne prends pas d'appel commercial</t>
  </si>
  <si>
    <t>Le Green²</t>
  </si>
  <si>
    <t>restaugreen@wanadoo.fr</t>
  </si>
  <si>
    <t>+33 2 43 53 51 36</t>
  </si>
  <si>
    <t xml:space="preserve">Montaigu </t>
  </si>
  <si>
    <t>pichereau.richard@orange.fr</t>
  </si>
  <si>
    <t>02 43 53 21 55</t>
  </si>
  <si>
    <t>ne change pas de fournisseur</t>
  </si>
  <si>
    <t>Poivre rouge</t>
  </si>
  <si>
    <t>poivrerouge.laval@orange.fr</t>
  </si>
  <si>
    <t>02.43.56.42.61</t>
  </si>
  <si>
    <t>Restaurant Ibis</t>
  </si>
  <si>
    <t>h0613@accor.com</t>
  </si>
  <si>
    <t>02.43.53.81.82</t>
  </si>
  <si>
    <t>Restaurant Chez Fred</t>
  </si>
  <si>
    <t>Chantrigne</t>
  </si>
  <si>
    <t>chezfred53@gmail.com</t>
  </si>
  <si>
    <t>AU P'TIT CHARCHIGNÉ</t>
  </si>
  <si>
    <t>Charchigne</t>
  </si>
  <si>
    <t>53250</t>
  </si>
  <si>
    <t>auptitcharchigne@gmail.com</t>
  </si>
  <si>
    <t>0243113858</t>
  </si>
  <si>
    <t>BRASSERIE LA CASA</t>
  </si>
  <si>
    <t>contact@lacasa53.fr</t>
  </si>
  <si>
    <t>02 43 12 61 99</t>
  </si>
  <si>
    <t>LE PRIEURE</t>
  </si>
  <si>
    <t>leprieure53@orange.fr</t>
  </si>
  <si>
    <t>02 43 12 83 43</t>
  </si>
  <si>
    <t>RESTAURANT ILIADE HABITAT JEUNES</t>
  </si>
  <si>
    <t>secretariat@iliade.asso.fr</t>
  </si>
  <si>
    <t>RESTAURANT LA PAUSE</t>
  </si>
  <si>
    <t>ersnews@gmail.com</t>
  </si>
  <si>
    <t>02 53 68 58 44</t>
  </si>
  <si>
    <t>RESTAURANT LE 2M</t>
  </si>
  <si>
    <t>contact@le2mrestaurant.com</t>
  </si>
  <si>
    <t>02 43 09 60 00</t>
  </si>
  <si>
    <t>RESTAURANT LE PONT PERDREAU</t>
  </si>
  <si>
    <t>p.reignoux@orange.fr</t>
  </si>
  <si>
    <t>02 43 12 60 93</t>
  </si>
  <si>
    <t>RESTAURANT VERTE CAMPAGNE</t>
  </si>
  <si>
    <t>contact@vertecampagne.fr</t>
  </si>
  <si>
    <t>09 66 85 47 77</t>
  </si>
  <si>
    <t>HÔTEL RESTAURANT LA GRANGE</t>
  </si>
  <si>
    <t>Cosse-Le-Vivien</t>
  </si>
  <si>
    <t>saspineau.grange@gmail.com</t>
  </si>
  <si>
    <t>02 43 98 81 32</t>
  </si>
  <si>
    <t>RESTAURANT LE CARRÉ D'AS</t>
  </si>
  <si>
    <t>lecarredascosse@orange.fr</t>
  </si>
  <si>
    <t>02 43 98 81 58</t>
  </si>
  <si>
    <t>L'INSTANT PRÉSENT</t>
  </si>
  <si>
    <t>Craon</t>
  </si>
  <si>
    <t>linstantpresent.craon@gmail.com</t>
  </si>
  <si>
    <t>02 43 09 92 87</t>
  </si>
  <si>
    <t>Maison C</t>
  </si>
  <si>
    <t>restaurantmaisonc@gmail.com</t>
  </si>
  <si>
    <t>02 43 06 05 25</t>
  </si>
  <si>
    <t>RESTAURANT LA STATION</t>
  </si>
  <si>
    <t>Piriac</t>
  </si>
  <si>
    <t>resto.cmd.lastation53@orange.fr</t>
  </si>
  <si>
    <t>02 43 06 02 21</t>
  </si>
  <si>
    <t>contrat exclusif avec Liboureau</t>
  </si>
  <si>
    <t>Restaurant à l'Ouest</t>
  </si>
  <si>
    <t>alouest.craon@orange.fr</t>
  </si>
  <si>
    <t>02 43 06 14 44</t>
  </si>
  <si>
    <t>ESPRIT GOURMAND</t>
  </si>
  <si>
    <t>Ernee</t>
  </si>
  <si>
    <t>delphine.nicolas1@orange.fr</t>
  </si>
  <si>
    <t>02 43 05 77 61</t>
  </si>
  <si>
    <t>CHARCUTERIE COLLET</t>
  </si>
  <si>
    <t>Evron</t>
  </si>
  <si>
    <t>colleteric53@gmail.com</t>
  </si>
  <si>
    <t>02 43 98 68 79</t>
  </si>
  <si>
    <t>LA TERRASSE Restaurant</t>
  </si>
  <si>
    <t>laterrasse53600@gmail.com</t>
  </si>
  <si>
    <t>02 43 01 36 12</t>
  </si>
  <si>
    <t>Fougerolles-Du-Plessis</t>
  </si>
  <si>
    <t>53190</t>
  </si>
  <si>
    <t>thierry.nolliere@orange.fr</t>
  </si>
  <si>
    <t>02 43 05 53 76</t>
  </si>
  <si>
    <t>Restaurant Bar Le Papillon</t>
  </si>
  <si>
    <t>Gorron</t>
  </si>
  <si>
    <t>lepapillon53@orange.fr</t>
  </si>
  <si>
    <t>02 43 08 63 67</t>
  </si>
  <si>
    <t>Restaurant De plein Grez</t>
  </si>
  <si>
    <t>Grez-En-Bouere</t>
  </si>
  <si>
    <t>restaurantdepleingrez@gmail.com</t>
  </si>
  <si>
    <t>02 43 07 39 26</t>
  </si>
  <si>
    <t>Au Café du Village fleuri</t>
  </si>
  <si>
    <t>Juvigne</t>
  </si>
  <si>
    <t>53380</t>
  </si>
  <si>
    <t>timotheeboitaux@gmail.com</t>
  </si>
  <si>
    <t>Maison Marguerite</t>
  </si>
  <si>
    <t>L'Huisserie</t>
  </si>
  <si>
    <t>53970</t>
  </si>
  <si>
    <t>maisoneclusiere.marguerite@gmail.com</t>
  </si>
  <si>
    <t>RESTAURANT LE PETIT COMPTOIR</t>
  </si>
  <si>
    <t>La Bazouge-De-Chemere</t>
  </si>
  <si>
    <t>lepetitcomptoir53@orange.fr</t>
  </si>
  <si>
    <t>02 43 98 15 58</t>
  </si>
  <si>
    <t>restaurant ouvrier</t>
  </si>
  <si>
    <t>L'ATELIER DU VIEUX MOULIN</t>
  </si>
  <si>
    <t>La Bazouge-Des-Alleux</t>
  </si>
  <si>
    <t>53470</t>
  </si>
  <si>
    <t>latelierduvieuxmoulin@gmail.com</t>
  </si>
  <si>
    <t>09 54 52 92 23</t>
  </si>
  <si>
    <t>Les Copains d'Abord</t>
  </si>
  <si>
    <t>La Roche-Neuville</t>
  </si>
  <si>
    <t>53360</t>
  </si>
  <si>
    <t>restaurant-lescopainsdabord@outlook.com</t>
  </si>
  <si>
    <t>02 43 07 77 20</t>
  </si>
  <si>
    <t>RESTAURANT LE MORILLAND</t>
  </si>
  <si>
    <t>busson.nicolas@live.fr</t>
  </si>
  <si>
    <t>02 43 07 29 62</t>
  </si>
  <si>
    <t>AMANDINE CUISINE POUR VOUS</t>
  </si>
  <si>
    <t>Lassay-Les-Chateaux</t>
  </si>
  <si>
    <t>53110</t>
  </si>
  <si>
    <t>amandinecuisinepourvous@gmail.com</t>
  </si>
  <si>
    <t>Brasserie des Flandres</t>
  </si>
  <si>
    <t>labrasseriedesflandres@gmail.com</t>
  </si>
  <si>
    <t>02.43.26.30.52</t>
  </si>
  <si>
    <t>ne prends pas d'agent</t>
  </si>
  <si>
    <t>laval@campanile.fr</t>
  </si>
  <si>
    <t>02.43.69.04.00</t>
  </si>
  <si>
    <t>Charcuterie des Gastronomes</t>
  </si>
  <si>
    <t>charcuterie-des-gastronomes@orange.fr</t>
  </si>
  <si>
    <t>02 43 68 06 29</t>
  </si>
  <si>
    <t>DOPPIO MALTO</t>
  </si>
  <si>
    <t>laval@doppiomalto.com</t>
  </si>
  <si>
    <t>Gogogamelle</t>
  </si>
  <si>
    <t>contact@gogogamelle.com</t>
  </si>
  <si>
    <t>Guinguette À La Bonheur</t>
  </si>
  <si>
    <t>contact@endevent.fr</t>
  </si>
  <si>
    <t>06 51 57 02 11</t>
  </si>
  <si>
    <t>L'Ardoise Gourmande</t>
  </si>
  <si>
    <t>contact@ardoisegourmande.fr</t>
  </si>
  <si>
    <t>L'Aromance</t>
  </si>
  <si>
    <t>saulnier.franck@wanadoo.fr</t>
  </si>
  <si>
    <t>02.43.56.64.17</t>
  </si>
  <si>
    <t>L'Effet Papilles</t>
  </si>
  <si>
    <t>contact@effetpapilles.fr</t>
  </si>
  <si>
    <t>+33 2 43 65 68 03</t>
  </si>
  <si>
    <t>L'orfèvre</t>
  </si>
  <si>
    <t>orfevrelaval@gmail.com</t>
  </si>
  <si>
    <t>02 43 49 18 59</t>
  </si>
  <si>
    <t>LA GUINGUETTE LE 11-22</t>
  </si>
  <si>
    <t>contact@guinguette1122.fr</t>
  </si>
  <si>
    <t>02 43 65 90 86</t>
  </si>
  <si>
    <t>La Cale café solidaire</t>
  </si>
  <si>
    <t>cafe.solidaire@espacesaintjulien.org</t>
  </si>
  <si>
    <t>02 52 98 02 45</t>
  </si>
  <si>
    <t>La Terrasse</t>
  </si>
  <si>
    <t>laval@laterrasse53.fr</t>
  </si>
  <si>
    <t>02 43 53 38 59</t>
  </si>
  <si>
    <t>Le 345 - Restaurant • Apéroom</t>
  </si>
  <si>
    <t>contact@le345.fr</t>
  </si>
  <si>
    <t>02 43 64 03 41</t>
  </si>
  <si>
    <t>Le Chemin de Fer</t>
  </si>
  <si>
    <t>chemindeferlaval@gmail.com</t>
  </si>
  <si>
    <t>Le Family</t>
  </si>
  <si>
    <t>sarl.lefamily.53@gmail.com</t>
  </si>
  <si>
    <t>+33 2 43 65 99 17</t>
  </si>
  <si>
    <t>Le Lac Rose</t>
  </si>
  <si>
    <t>le6lacrose@gmail.com</t>
  </si>
  <si>
    <t>+33 7 61 90 89 26</t>
  </si>
  <si>
    <t>Le Méridional</t>
  </si>
  <si>
    <t>rival.mickael@orange.fr</t>
  </si>
  <si>
    <t>02.43.53.13.77</t>
  </si>
  <si>
    <t>Le Petit Périgord</t>
  </si>
  <si>
    <t>infos@lepetitperigord.fr</t>
  </si>
  <si>
    <t>02.43.53.29.43</t>
  </si>
  <si>
    <t>Le Petit Saint-Vénérand</t>
  </si>
  <si>
    <t>lepetitsaintvenerand@hotmail.fr</t>
  </si>
  <si>
    <t>+33 2 43 53 56 75</t>
  </si>
  <si>
    <t>Le Ravito</t>
  </si>
  <si>
    <t>leravito53@gmail.com</t>
  </si>
  <si>
    <t>Le Rond-Point</t>
  </si>
  <si>
    <t>le.rond.point.53@orange.fr</t>
  </si>
  <si>
    <t>02.43.53.71.66</t>
  </si>
  <si>
    <t>Le Saint Tugal</t>
  </si>
  <si>
    <t>restaurant.lesttugal@orange.fr</t>
  </si>
  <si>
    <t>02.43.67.33.31</t>
  </si>
  <si>
    <t>Le Sévigné</t>
  </si>
  <si>
    <t>sylvain.bonsergent0494@orange.fr</t>
  </si>
  <si>
    <t>02.43.56.63.66</t>
  </si>
  <si>
    <t>Les Touch'Gourmandes</t>
  </si>
  <si>
    <t>lestouch.gourmandes@adapei53.fr</t>
  </si>
  <si>
    <t>02.43.56.08.83</t>
  </si>
  <si>
    <t>Madame etc</t>
  </si>
  <si>
    <t>madameect.laval@gmail.com</t>
  </si>
  <si>
    <t>Maison Colette</t>
  </si>
  <si>
    <t>maisoncolette53@gmail.com</t>
  </si>
  <si>
    <t>09 53 53 55 01</t>
  </si>
  <si>
    <t>O'Passage</t>
  </si>
  <si>
    <t>restaurant@o-passage.com</t>
  </si>
  <si>
    <t>+33 2 43 56 09 76</t>
  </si>
  <si>
    <t>Poivre &amp; Sel</t>
  </si>
  <si>
    <t>poivre-sel@orange.fr</t>
  </si>
  <si>
    <t>02 43 53 73 28</t>
  </si>
  <si>
    <t>Quai Ouest - Le Bord'O</t>
  </si>
  <si>
    <t>contact@lebordo.com</t>
  </si>
  <si>
    <t>02 43 49 97 93</t>
  </si>
  <si>
    <t>Restaurant du Foirail</t>
  </si>
  <si>
    <t>sarlrodel.delcash@orange.fr</t>
  </si>
  <si>
    <t>02.43.53.34.87</t>
  </si>
  <si>
    <t>TEST VIT GGAC RESTAU</t>
  </si>
  <si>
    <t>gregoire.gac@destination-mayenne.com</t>
  </si>
  <si>
    <t>LE LIVRÉEN</t>
  </si>
  <si>
    <t>Livre-La-Touche</t>
  </si>
  <si>
    <t>livre1@orange.fr</t>
  </si>
  <si>
    <t>02 43 07 87 96</t>
  </si>
  <si>
    <t>L'Escale</t>
  </si>
  <si>
    <t>Louverne</t>
  </si>
  <si>
    <t>53950</t>
  </si>
  <si>
    <t>escale-resto-louverne@orange.fr</t>
  </si>
  <si>
    <t>02.43.01.10.03</t>
  </si>
  <si>
    <t>LE P'TIT MARCILLE</t>
  </si>
  <si>
    <t>Marcille-La-Ville</t>
  </si>
  <si>
    <t>contact@leptitmarcille.fr</t>
  </si>
  <si>
    <t>02 43 00 70 42</t>
  </si>
  <si>
    <t>L'ECLAT GOURMAND</t>
  </si>
  <si>
    <t>leclat.gourmand53@orange.fr</t>
  </si>
  <si>
    <t>RESTAURANT LA MARMITE</t>
  </si>
  <si>
    <t>lamarmite53470@hotmail.fr</t>
  </si>
  <si>
    <t>02 43 26 36 91</t>
  </si>
  <si>
    <t>LA CUISINE DE LÉA</t>
  </si>
  <si>
    <t>lacuisinedeleatraiteur@gmail.com</t>
  </si>
  <si>
    <t>LA RENAISSANCE</t>
  </si>
  <si>
    <t>larenaissance.mail@gmail.com</t>
  </si>
  <si>
    <t>09 82 50 52 81</t>
  </si>
  <si>
    <t>RESTAURANT LA CROIX COUVERTE</t>
  </si>
  <si>
    <t>lacroixcouverte@outlook.fr</t>
  </si>
  <si>
    <t>02 43 04 32 48</t>
  </si>
  <si>
    <t>BAR RESTAURANT LA GUINGUETTE DU BAC</t>
  </si>
  <si>
    <t>Menil</t>
  </si>
  <si>
    <t>guinguette53@gmail.com</t>
  </si>
  <si>
    <t>02 43 70 21 27</t>
  </si>
  <si>
    <t>LES PIZZAS DE MESLAY</t>
  </si>
  <si>
    <t>Meslay-Du-Maine</t>
  </si>
  <si>
    <t>contact@lespizzasdemeslay.fr</t>
  </si>
  <si>
    <t>02 43 01 05 05</t>
  </si>
  <si>
    <t>Les Canailles</t>
  </si>
  <si>
    <t>sctrmayenne@gmail.com</t>
  </si>
  <si>
    <t>02 59 16 37 24</t>
  </si>
  <si>
    <t>GUINGUETTE DU GUÉ DE SELLE</t>
  </si>
  <si>
    <t>Mezangers</t>
  </si>
  <si>
    <t>guinguette.gds@gmail.com</t>
  </si>
  <si>
    <t>Guinguette de Montflours</t>
  </si>
  <si>
    <t>Montflours</t>
  </si>
  <si>
    <t>laguinguettedemontflours53@gmail.com</t>
  </si>
  <si>
    <t>02 43 91 48 83</t>
  </si>
  <si>
    <t>Le Pétoulet</t>
  </si>
  <si>
    <t>Montigne-Le-Brillant</t>
  </si>
  <si>
    <t>lepetoulet@wanadoo.fr</t>
  </si>
  <si>
    <t>02.43.98.37.66</t>
  </si>
  <si>
    <t>BOUCHERIE CHARCUTERIE CERISIER</t>
  </si>
  <si>
    <t>Montsurs</t>
  </si>
  <si>
    <t>charly.cerisier@orange.fr</t>
  </si>
  <si>
    <t>02 43 01 00 61</t>
  </si>
  <si>
    <t>RESTAURANT LA MARJOLAINE</t>
  </si>
  <si>
    <t>Moulay</t>
  </si>
  <si>
    <t>lamarjolaine@wanadoo.fr</t>
  </si>
  <si>
    <t>02 43 00 48 42</t>
  </si>
  <si>
    <t>RAINBOW CAFE</t>
  </si>
  <si>
    <t>Neuilly-Le-Vendin</t>
  </si>
  <si>
    <t>sam.davy@orange.fr</t>
  </si>
  <si>
    <t>02.43.03.89.57</t>
  </si>
  <si>
    <t>L'Écluserie</t>
  </si>
  <si>
    <t>Origne</t>
  </si>
  <si>
    <t>lecluserie@gmail.com</t>
  </si>
  <si>
    <t>09 55 95 02 47</t>
  </si>
  <si>
    <t>Au comptoir du Roc</t>
  </si>
  <si>
    <t>Parne-Sur-Roc</t>
  </si>
  <si>
    <t>aucomptoirduroc@gmail.com</t>
  </si>
  <si>
    <t>07 83 60 43 83</t>
  </si>
  <si>
    <t>Centre Pastoral du Sanctuaire (Pèlerins)</t>
  </si>
  <si>
    <t>Pontmain</t>
  </si>
  <si>
    <t>53220</t>
  </si>
  <si>
    <t>contact.pontmain@dioceselaval.fr</t>
  </si>
  <si>
    <t>02 43 05 07 26</t>
  </si>
  <si>
    <t>Restaurant Le Relais Le Bocage</t>
  </si>
  <si>
    <t>reception@relaislebocage.fr</t>
  </si>
  <si>
    <t>02 43 30 26 00</t>
  </si>
  <si>
    <t>Le Brillet Pontin</t>
  </si>
  <si>
    <t>Port-Brillet</t>
  </si>
  <si>
    <t>53410</t>
  </si>
  <si>
    <t>contact@lebrilletpontin.fr</t>
  </si>
  <si>
    <t>02.43.01.28.00</t>
  </si>
  <si>
    <t>La Halle aux Grains</t>
  </si>
  <si>
    <t>Pree-D'Anjou</t>
  </si>
  <si>
    <t>sncboulineaulahalleauxgrains@gmail.com</t>
  </si>
  <si>
    <t>02 43 06 32 78</t>
  </si>
  <si>
    <t>AU QG, RESTAURANT DE VILLAGE</t>
  </si>
  <si>
    <t>Quelaines-Saint-Gault</t>
  </si>
  <si>
    <t>auqgrestaurantdevillage@orange.fr</t>
  </si>
  <si>
    <t>02 43 98 53 26</t>
  </si>
  <si>
    <t>RESTAURANT LE CAMELIA</t>
  </si>
  <si>
    <t>Ruille-Froid-Fonds</t>
  </si>
  <si>
    <t>yannick.gatineau@wanadoo.fr</t>
  </si>
  <si>
    <t>02 43 07 71 55</t>
  </si>
  <si>
    <t>RESTAURANT LE PÉGASIEN</t>
  </si>
  <si>
    <t>Saint-Aignan-Sur-Roe</t>
  </si>
  <si>
    <t>le-pegasien@orange.fr</t>
  </si>
  <si>
    <t>02 43 06 51 02</t>
  </si>
  <si>
    <t>La Corévatine</t>
  </si>
  <si>
    <t>contact@lacorevatine.com</t>
  </si>
  <si>
    <t>02 43 69 12 88</t>
  </si>
  <si>
    <t>Le bistrot du Pavillon</t>
  </si>
  <si>
    <t>bistrotpavillon@aol.com</t>
  </si>
  <si>
    <t>02 72 54 00 34</t>
  </si>
  <si>
    <t>Le moulin de Coupeau</t>
  </si>
  <si>
    <t>lemoulindecoupeau53@gmail.com</t>
  </si>
  <si>
    <t>09 86 19 10 00</t>
  </si>
  <si>
    <t>Au P'tit resto</t>
  </si>
  <si>
    <t>Saint-Brice</t>
  </si>
  <si>
    <t>auptitresto53@gmail.com</t>
  </si>
  <si>
    <t>09 56 74 46 11</t>
  </si>
  <si>
    <t>LE RELAIS DE LA CALECHE</t>
  </si>
  <si>
    <t>Saint-Denis-D'Anjou</t>
  </si>
  <si>
    <t>relaisdelacaleche53@gmail.com</t>
  </si>
  <si>
    <t>02 43 12 89 59</t>
  </si>
  <si>
    <t>La Belle Vie</t>
  </si>
  <si>
    <t>Saint-Denis-Du-Maine</t>
  </si>
  <si>
    <t>labellevie53170@gmail.com</t>
  </si>
  <si>
    <t>02 43 91 72 32</t>
  </si>
  <si>
    <t>RESTAURANT LE ROND POINT</t>
  </si>
  <si>
    <t>Saint-Loup-Du-Dorat</t>
  </si>
  <si>
    <t>bouteloup.sebastien@orange.fr</t>
  </si>
  <si>
    <t>02 43 70 89 34</t>
  </si>
  <si>
    <t>LE MARMITON</t>
  </si>
  <si>
    <t>Saint-Saturnin-Du-Limet</t>
  </si>
  <si>
    <t>53800</t>
  </si>
  <si>
    <t>freddy.marmiton@orange.fr</t>
  </si>
  <si>
    <t>02 43 06 77 26</t>
  </si>
  <si>
    <t>LE SAINT RO - Restaurant Bar</t>
  </si>
  <si>
    <t>Sainte-Gemmes-Le-Robert</t>
  </si>
  <si>
    <t>lesaintro.restaurant@gmail.com</t>
  </si>
  <si>
    <t>02 85 65 95 65</t>
  </si>
  <si>
    <t>La CABANE</t>
  </si>
  <si>
    <t>lacabanedecarolmarie@gmail.com</t>
  </si>
  <si>
    <t>Restaurant le Orym</t>
  </si>
  <si>
    <t>orym.chammes@gmail.com</t>
  </si>
  <si>
    <t>02 34 71 74 62</t>
  </si>
  <si>
    <t>BISTROT- RESTAURANT LE SALICA'FÉ</t>
  </si>
  <si>
    <t>Saulges</t>
  </si>
  <si>
    <t>53340</t>
  </si>
  <si>
    <t>salicafe53@gmail.com</t>
  </si>
  <si>
    <t>02 43 90 41 30</t>
  </si>
  <si>
    <t>L'instant Gourmand</t>
  </si>
  <si>
    <t>Soulge-Sur-Ouette</t>
  </si>
  <si>
    <t>53210</t>
  </si>
  <si>
    <t>instant.gourmand@yahoo.fr</t>
  </si>
  <si>
    <t>02.43.02.30.20</t>
  </si>
  <si>
    <t>Restaurant l'Etoile des routiers</t>
  </si>
  <si>
    <t>Thorigne-En-Charnie</t>
  </si>
  <si>
    <t>sarletoilesdesroutiers@gmail.com</t>
  </si>
  <si>
    <t>02 85 65 94 99</t>
  </si>
  <si>
    <t>LAZZARO PIZZA</t>
  </si>
  <si>
    <t>jinho.briand@gmail.com</t>
  </si>
  <si>
    <t>0243322904</t>
  </si>
  <si>
    <t>Restaurant La Sourderie</t>
  </si>
  <si>
    <t>restaurant.lasourderie@orange.fr</t>
  </si>
  <si>
    <t>02 43 00 03 67</t>
  </si>
  <si>
    <t>RESTAURANT LE RELAIS BRETON</t>
  </si>
  <si>
    <t>Vimartin-Sur-Orthe</t>
  </si>
  <si>
    <t>lerelaisbreton@hotmail.com</t>
  </si>
  <si>
    <t>09 50 15 83 84</t>
  </si>
  <si>
    <t>Bistro Quai</t>
  </si>
  <si>
    <t>contact@hoteldelagare85.fr</t>
  </si>
  <si>
    <t>+33251370861</t>
  </si>
  <si>
    <t>Cayola Restaurant</t>
  </si>
  <si>
    <t>contact@le-cayola.com</t>
  </si>
  <si>
    <t>+33 2 51 22 01 01</t>
  </si>
  <si>
    <t>Chez Bastien</t>
  </si>
  <si>
    <t>chez.bastien@orange.fr</t>
  </si>
  <si>
    <t>+33251580160</t>
  </si>
  <si>
    <t>Chez Fanny</t>
  </si>
  <si>
    <t>resto.chezfanny@gmail.com</t>
  </si>
  <si>
    <t>+33 7 84 43 32 59</t>
  </si>
  <si>
    <t>Chez Lulu</t>
  </si>
  <si>
    <t>contact@lamouleavelo.fr</t>
  </si>
  <si>
    <t>+33 2 51 55 07 64</t>
  </si>
  <si>
    <t>Julie dans la cuisine</t>
  </si>
  <si>
    <t>juliedanslacuisine85@gmail.com</t>
  </si>
  <si>
    <t>+33 2 51 56 27 67</t>
  </si>
  <si>
    <t>L'Abricotier</t>
  </si>
  <si>
    <t>contact@restaurantlabricotier.fr</t>
  </si>
  <si>
    <t>+33 2 51 62 98 93</t>
  </si>
  <si>
    <t>L'Amaryllis</t>
  </si>
  <si>
    <t>+33 251 095 839</t>
  </si>
  <si>
    <t>+33 2 55 90 02 85</t>
  </si>
  <si>
    <t>La Potinière</t>
  </si>
  <si>
    <t>potiniere.no@orange.fr</t>
  </si>
  <si>
    <t>+33 7 65 15 55 73</t>
  </si>
  <si>
    <t>Le Karo</t>
  </si>
  <si>
    <t>restaurant.lekaro@orange.fr</t>
  </si>
  <si>
    <t>+33251627932</t>
  </si>
  <si>
    <t>Le Rabelais</t>
  </si>
  <si>
    <t>hotel-lerabelais@wanadoo.fr</t>
  </si>
  <si>
    <t>+33 2 51 69 86 20</t>
  </si>
  <si>
    <t>contact@lerelax.fr</t>
  </si>
  <si>
    <t>+33 2 51 94 02 44</t>
  </si>
  <si>
    <t>Lemar</t>
  </si>
  <si>
    <t>ericlemoine@restaurantlemar.fr</t>
  </si>
  <si>
    <t>+33 2 51 35 85 29</t>
  </si>
  <si>
    <t>Mireille Oasis</t>
  </si>
  <si>
    <t>cocobeachpat@sfr.fr</t>
  </si>
  <si>
    <t>+33251321851</t>
  </si>
  <si>
    <t>L'Abrewoir</t>
  </si>
  <si>
    <t>La Gueriniere</t>
  </si>
  <si>
    <t>labrewoir@gmail.com</t>
  </si>
  <si>
    <t>02 82 51 99 42</t>
  </si>
  <si>
    <t>Brem-Sur-Mer</t>
  </si>
  <si>
    <t>85470</t>
  </si>
  <si>
    <t>contact@lacabane-brem.fr</t>
  </si>
  <si>
    <t>+33 6 76 70 04 60</t>
  </si>
  <si>
    <t>La Suite</t>
  </si>
  <si>
    <t>Chaillé-Les-Marais</t>
  </si>
  <si>
    <t>85450</t>
  </si>
  <si>
    <t>tablesebastien@gmail.com</t>
  </si>
  <si>
    <t>+33 2 28 14 52 28</t>
  </si>
  <si>
    <t>Le Clemenceau</t>
  </si>
  <si>
    <t>Chantonnay</t>
  </si>
  <si>
    <t>85110</t>
  </si>
  <si>
    <t>leclemenceau@orange.fr</t>
  </si>
  <si>
    <t>+33 2 51 34 76 92</t>
  </si>
  <si>
    <t>Le Petit Saint-Thomas</t>
  </si>
  <si>
    <t>La Garnache</t>
  </si>
  <si>
    <t>85710</t>
  </si>
  <si>
    <t>restolesaintthomas@orange.fr</t>
  </si>
  <si>
    <t>+33251490599</t>
  </si>
  <si>
    <t>A L'Occaz'Yon</t>
  </si>
  <si>
    <t>aloccazyon@gmail.com</t>
  </si>
  <si>
    <t>+33 6 71 52 90 42</t>
  </si>
  <si>
    <t>Bistro Yonnais</t>
  </si>
  <si>
    <t>bistro.yonnais85@gmail.com</t>
  </si>
  <si>
    <t>+33251069426</t>
  </si>
  <si>
    <t>Grind</t>
  </si>
  <si>
    <t>contact@grind.fr</t>
  </si>
  <si>
    <t>+33 2 52 43 00 43</t>
  </si>
  <si>
    <t>La Petite Chaumière</t>
  </si>
  <si>
    <t>contact@lapetitechaumiere.fr</t>
  </si>
  <si>
    <t>+33 2 51 47 34 86</t>
  </si>
  <si>
    <t>La Tribu Yonnaise</t>
  </si>
  <si>
    <t>bonjour@tribuyonnaise.fr</t>
  </si>
  <si>
    <t>+33 2 51 36 11 39</t>
  </si>
  <si>
    <t>Lotus</t>
  </si>
  <si>
    <t>vulinhtran777@gmail.com</t>
  </si>
  <si>
    <t>+33 7 84 93 86 90</t>
  </si>
  <si>
    <t>Zafaran</t>
  </si>
  <si>
    <t>zafaran.restaurant85@gmail.com</t>
  </si>
  <si>
    <t>Tip Thaï Food</t>
  </si>
  <si>
    <t>85500</t>
  </si>
  <si>
    <t>xmt.sarl@gmail.com</t>
  </si>
  <si>
    <t>+33 9 83 71 36 34</t>
  </si>
  <si>
    <t>L'Estran</t>
  </si>
  <si>
    <t>Les Sables D'Olonne</t>
  </si>
  <si>
    <t>85100</t>
  </si>
  <si>
    <t>contact@restau-lestran-lessables.fr</t>
  </si>
  <si>
    <t>+33251954467</t>
  </si>
  <si>
    <t>La Vita è Bella</t>
  </si>
  <si>
    <t>lavitaebella85100@gmail.com</t>
  </si>
  <si>
    <t>+33251215786</t>
  </si>
  <si>
    <t>Bisto'Quai</t>
  </si>
  <si>
    <t>bistroquai@orange.fr</t>
  </si>
  <si>
    <t>+33 251950750</t>
  </si>
  <si>
    <t>L'Etiquette</t>
  </si>
  <si>
    <t>etiquette1@orange.fr</t>
  </si>
  <si>
    <t>+33 2 44 41 41 44</t>
  </si>
  <si>
    <t>La Bodega LS</t>
  </si>
  <si>
    <t>labodega.ls@hotmail.com</t>
  </si>
  <si>
    <t>+33251214254</t>
  </si>
  <si>
    <t>Le 16 bis</t>
  </si>
  <si>
    <t>le16bis@sablesdo.com</t>
  </si>
  <si>
    <t>+33 251959188</t>
  </si>
  <si>
    <t>Les Barges</t>
  </si>
  <si>
    <t>contact@lesbarges.fr</t>
  </si>
  <si>
    <t>+33 251219450</t>
  </si>
  <si>
    <t>Loulou côte Sauvage</t>
  </si>
  <si>
    <t>loulou.cotesauvage@orange.fr</t>
  </si>
  <si>
    <t>+33251213232</t>
  </si>
  <si>
    <t>S‘Viet</t>
  </si>
  <si>
    <t>s.viet85@gmail.com</t>
  </si>
  <si>
    <t>+33251237246</t>
  </si>
  <si>
    <t>Chez Lee'V</t>
  </si>
  <si>
    <t>85600</t>
  </si>
  <si>
    <t>contact@chezleev.fr</t>
  </si>
  <si>
    <t>+33 7 81 98 62 94</t>
  </si>
  <si>
    <t>contact@hotel-lesvoyageurs.fr</t>
  </si>
  <si>
    <t>+33 2 51 94 00 71</t>
  </si>
  <si>
    <t>L'Instant Bouillon</t>
  </si>
  <si>
    <t>Sainte Foy</t>
  </si>
  <si>
    <t>85150</t>
  </si>
  <si>
    <t>linstantbouillon@gmail.com</t>
  </si>
  <si>
    <t>+33 2 51 20 16 92</t>
  </si>
  <si>
    <t>Le Lien</t>
  </si>
  <si>
    <t>Sainte-Foy</t>
  </si>
  <si>
    <t>restaurant.lelien85@gmail.com</t>
  </si>
  <si>
    <t>+33 2 59 16 06 06</t>
  </si>
  <si>
    <t>Rôtisserie RN 137</t>
  </si>
  <si>
    <t>Sainte-Gemme-La-Plaine</t>
  </si>
  <si>
    <t>85400</t>
  </si>
  <si>
    <t>thierrybaudry85@orange.fr</t>
  </si>
  <si>
    <t>+33 2 51 29 48 34</t>
  </si>
  <si>
    <t>Le Fil Rouge</t>
  </si>
  <si>
    <t>Noirmoutier-en-l'Ile</t>
  </si>
  <si>
    <t>jsouchaire@outlook.fr</t>
  </si>
  <si>
    <t>07 66 16 25 45</t>
  </si>
  <si>
    <t>Julie</t>
  </si>
  <si>
    <t>Pilours Restaurant sur l'Océan</t>
  </si>
  <si>
    <t>Saint Hilaire de Riez</t>
  </si>
  <si>
    <t>direction@pilours.fr</t>
  </si>
  <si>
    <t>02 21 76 03 85</t>
  </si>
  <si>
    <t>bar à huitre</t>
  </si>
  <si>
    <t>La faute</t>
  </si>
  <si>
    <t>viversduport62@outlook,fr</t>
  </si>
  <si>
    <t>le goldwing</t>
  </si>
  <si>
    <t>J.R.P.H@orange.fr</t>
  </si>
  <si>
    <t>coco beach / nonna</t>
  </si>
  <si>
    <t>nonnalafaute@gmail.com</t>
  </si>
  <si>
    <t>Melvin</t>
  </si>
  <si>
    <t>Café du Midi</t>
  </si>
  <si>
    <t>bellecmorgane@gmail.com</t>
  </si>
  <si>
    <t>+33297242110</t>
  </si>
  <si>
    <t>Crêperie Saint-Guenhaël</t>
  </si>
  <si>
    <t>creperie.st.guenhael@gmail.com</t>
  </si>
  <si>
    <t>+33 2 97 47 47 94</t>
  </si>
  <si>
    <t>Crêperie de la Marine</t>
  </si>
  <si>
    <t>restaurant.lamarine.josselin@orange.fr</t>
  </si>
  <si>
    <t>+33297222198</t>
  </si>
  <si>
    <t>Dynamo</t>
  </si>
  <si>
    <t>dynamo.lorient@gmail.com</t>
  </si>
  <si>
    <t>+33 9 84 24 49 05</t>
  </si>
  <si>
    <t>Hello Rivage</t>
  </si>
  <si>
    <t>hellorivagescafe@gmail.com</t>
  </si>
  <si>
    <t>Il Piccolo Maestro</t>
  </si>
  <si>
    <t>ilpiccolomaestro@gmail.com</t>
  </si>
  <si>
    <t>+33 2 97 82 95 79</t>
  </si>
  <si>
    <t>L'Aiglon Restaurant</t>
  </si>
  <si>
    <t>restaurant@laiglon-pontivy.com</t>
  </si>
  <si>
    <t>+33 2 97 27 98 08</t>
  </si>
  <si>
    <t>L'Éden</t>
  </si>
  <si>
    <t>edenk.restaurant@gmail.com</t>
  </si>
  <si>
    <t>+33297464262</t>
  </si>
  <si>
    <t>La Sirène</t>
  </si>
  <si>
    <t>info@houat-la-sirene.com</t>
  </si>
  <si>
    <t>+33 2 97 30 66 73</t>
  </si>
  <si>
    <t>La belle Folie</t>
  </si>
  <si>
    <t>bonjour@labellefolie.fr</t>
  </si>
  <si>
    <t>+33 2 97 06 02 38</t>
  </si>
  <si>
    <t>Le Café bleu</t>
  </si>
  <si>
    <t>contact@mariage-belle-ile.com</t>
  </si>
  <si>
    <t>+33 2 97315664</t>
  </si>
  <si>
    <t>Le Kraken</t>
  </si>
  <si>
    <t>contact@kraken.bzh</t>
  </si>
  <si>
    <t>Le Manoir de Kerbot</t>
  </si>
  <si>
    <t>contact@kerbot.com</t>
  </si>
  <si>
    <t>+33 2 97 26 40 38</t>
  </si>
  <si>
    <t>Ohinéné</t>
  </si>
  <si>
    <t>contact@ohinene.fr</t>
  </si>
  <si>
    <t>+33 6 43 62 32 19</t>
  </si>
  <si>
    <t>Pie Noir café</t>
  </si>
  <si>
    <t>contact@tomederhuys.fr</t>
  </si>
  <si>
    <t>+33 2 97 41 85 68</t>
  </si>
  <si>
    <t>Tempo Bistro Resto</t>
  </si>
  <si>
    <t>claudineboucher29@yahoo.fr</t>
  </si>
  <si>
    <t>+33 2 56 62 09 77</t>
  </si>
  <si>
    <t>Ti Anna</t>
  </si>
  <si>
    <t>restaurant@ti-anna.bzh</t>
  </si>
  <si>
    <t>+33297498260</t>
  </si>
  <si>
    <t>Aurélia</t>
  </si>
  <si>
    <t xml:space="preserve">Pas dispo ce jour la </t>
  </si>
  <si>
    <t>Valentino !</t>
  </si>
  <si>
    <t>direction@valentino-sarzeau.com</t>
  </si>
  <si>
    <t>+33 6 68 32 30 00</t>
  </si>
  <si>
    <t>restaurant du poète ferrailleur</t>
  </si>
  <si>
    <t>56460</t>
  </si>
  <si>
    <t>poeteferrailleur@neuf.fr</t>
  </si>
  <si>
    <t>+33 2 97 74 97 94</t>
  </si>
  <si>
    <t>Best Western</t>
  </si>
  <si>
    <t>info@bestwesternaurayleloch.com</t>
  </si>
  <si>
    <t>+33 2 97 56 48 33</t>
  </si>
  <si>
    <t>restaurantlaparte56@gmail.com</t>
  </si>
  <si>
    <t>+33 2 97 24 19 00</t>
  </si>
  <si>
    <t>Le Casier</t>
  </si>
  <si>
    <t>contact@restaurant-lecasier.fr</t>
  </si>
  <si>
    <t>+33 2 97 52 88 29</t>
  </si>
  <si>
    <t>Dolce Italia</t>
  </si>
  <si>
    <t>Baud</t>
  </si>
  <si>
    <t>56150</t>
  </si>
  <si>
    <t>dolce-italia.baud@orange.fr</t>
  </si>
  <si>
    <t>+33 2 97 25 14 02</t>
  </si>
  <si>
    <t>L'allée champs</t>
  </si>
  <si>
    <t>Elven</t>
  </si>
  <si>
    <t>contact@lalleechamps.fr</t>
  </si>
  <si>
    <t>+33 6 78 13 24 61</t>
  </si>
  <si>
    <t>Tavarn Ty Gar - Café Restaurant</t>
  </si>
  <si>
    <t>Hennebont</t>
  </si>
  <si>
    <t>56700</t>
  </si>
  <si>
    <t>manger@tavarntygar.com</t>
  </si>
  <si>
    <t>+33978806835</t>
  </si>
  <si>
    <t>Crêperie "Le Vieux Pont"</t>
  </si>
  <si>
    <t>Le Bono</t>
  </si>
  <si>
    <t>levieuxpont@outlook.fr</t>
  </si>
  <si>
    <t>+33297578771</t>
  </si>
  <si>
    <t>L'Odyssée</t>
  </si>
  <si>
    <t>lodysseelorient@gmail.com</t>
  </si>
  <si>
    <t>+33 2 97 64 14 09</t>
  </si>
  <si>
    <t>Merlin Les Pieds Dans L'Eau</t>
  </si>
  <si>
    <t>Saint Aignan</t>
  </si>
  <si>
    <t>56480</t>
  </si>
  <si>
    <t>info@restaurant-merlin.fr</t>
  </si>
  <si>
    <t>+33 2 97 27 52 36</t>
  </si>
  <si>
    <t>Le Vieux Colombier</t>
  </si>
  <si>
    <t>levieuxcolombier56370@gmail.com</t>
  </si>
  <si>
    <t>+33 2 97 43 94 40</t>
  </si>
  <si>
    <t>La Table des Kopins Kopines</t>
  </si>
  <si>
    <t>kopinskopines@gmail.com</t>
  </si>
  <si>
    <t>+332 97 47 69 91</t>
  </si>
  <si>
    <t>crapule</t>
  </si>
  <si>
    <t>56001</t>
  </si>
  <si>
    <t>benoit@crapule-vannes.com</t>
  </si>
  <si>
    <t>Suzanne</t>
  </si>
  <si>
    <t>DailyGourmand</t>
  </si>
  <si>
    <t>56002</t>
  </si>
  <si>
    <t>dailygourmand@gmail.com</t>
  </si>
  <si>
    <t>Mr Bernard</t>
  </si>
  <si>
    <t>le pressoir</t>
  </si>
  <si>
    <t>56003</t>
  </si>
  <si>
    <t>Mr Janjon</t>
  </si>
  <si>
    <t xml:space="preserve">La villa </t>
  </si>
  <si>
    <t>56004</t>
  </si>
  <si>
    <t>restaurantlavilla.quiberon@gmail.com</t>
  </si>
  <si>
    <t>Arthur</t>
  </si>
  <si>
    <t>Huitre Leneveu</t>
  </si>
  <si>
    <t>Phouhinec</t>
  </si>
  <si>
    <t>luc@huitres-leneveu.com</t>
  </si>
  <si>
    <t>02 90 74 90 41 ou 07 87 24 26 40</t>
  </si>
  <si>
    <t>Quentin</t>
  </si>
  <si>
    <t>Quentin Leneveu</t>
  </si>
  <si>
    <t xml:space="preserve">Mimosa </t>
  </si>
  <si>
    <t>tribu.mimosa@gmail.com</t>
  </si>
  <si>
    <t>Hugo</t>
  </si>
  <si>
    <t>canopée/diane</t>
  </si>
  <si>
    <t>atete56000@gmail.com</t>
  </si>
  <si>
    <t>Alexandre Tete</t>
  </si>
  <si>
    <t>vers l'aventure(bar huitres)</t>
  </si>
  <si>
    <t>info@verslaventure,bzh</t>
  </si>
  <si>
    <t>le vortheix</t>
  </si>
  <si>
    <t>vortheixrestaurant@gmail,com</t>
  </si>
  <si>
    <t>La traversée</t>
  </si>
  <si>
    <t>contact@latraversee-arradon,fr</t>
  </si>
  <si>
    <t>Aodren</t>
  </si>
  <si>
    <t>O Kalypso</t>
  </si>
  <si>
    <t>anaelle.baker@okalypso.com</t>
  </si>
  <si>
    <t>Anaelle</t>
  </si>
  <si>
    <t>Le Moulin de Célac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</si>
</sst>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Calibri"/>
      <scheme val="minor"/>
    </font>
    <font>
      <b/>
      <i/>
      <sz val="14.0"/>
      <color rgb="FF722F37"/>
      <name val="Arial"/>
    </font>
    <font>
      <sz val="10.0"/>
      <color rgb="FF000000"/>
      <name val="Arial"/>
    </font>
    <font>
      <i/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color rgb="FFFFFFFF"/>
      <name val="Arial"/>
    </font>
    <font>
      <color theme="1"/>
      <name val="Calibri"/>
    </font>
    <font>
      <sz val="10.0"/>
      <color rgb="FFFF0000"/>
      <name val="Arial"/>
    </font>
    <font>
      <i/>
      <sz val="9.0"/>
      <color theme="1"/>
      <name val="Arial"/>
    </font>
    <font>
      <sz val="11.0"/>
      <color rgb="FF000000"/>
      <name val="Calibri"/>
    </font>
    <font>
      <color rgb="FF000000"/>
      <name val="Arial"/>
    </font>
    <font>
      <sz val="11.0"/>
      <color theme="1"/>
      <name val="Calibri"/>
    </font>
    <font>
      <color theme="1"/>
      <name val="Arial"/>
    </font>
    <font>
      <u/>
      <sz val="11.0"/>
      <color rgb="FF000000"/>
      <name val="Calibri"/>
    </font>
    <font>
      <sz val="11.0"/>
      <color theme="1"/>
      <name val="&quot;Aptos Narrow&quot;"/>
    </font>
    <font>
      <u/>
      <color rgb="FF000000"/>
      <name val="Arial"/>
    </font>
    <font>
      <sz val="10.0"/>
      <color rgb="FF00FF00"/>
      <name val="Arial"/>
    </font>
    <font/>
    <font>
      <u/>
      <color rgb="FF000000"/>
      <name val="Arial"/>
    </font>
    <font>
      <color rgb="FFFF0000"/>
      <name val="Calibri"/>
    </font>
    <font>
      <color rgb="FF000000"/>
      <name val="Calibri"/>
      <scheme val="minor"/>
    </font>
    <font>
      <color rgb="FF000000"/>
      <name val="Open Sans"/>
    </font>
    <font>
      <sz val="11.0"/>
      <color rgb="FF7F8085"/>
      <name val="Open Sans"/>
    </font>
    <font>
      <sz val="11.0"/>
      <color rgb="FF04101B"/>
      <name val="Open Sans"/>
    </font>
    <font>
      <u/>
      <sz val="10.0"/>
      <color theme="1"/>
      <name val="Arial"/>
    </font>
    <font>
      <color rgb="FF000000"/>
      <name val="Calibri"/>
    </font>
    <font>
      <sz val="11.0"/>
      <color rgb="FF00FF00"/>
      <name val="Calibri"/>
    </font>
    <font>
      <color rgb="FF00FF00"/>
      <name val="Arial"/>
    </font>
    <font>
      <color rgb="FF00FF00"/>
      <name val="Calibri"/>
    </font>
    <font>
      <sz val="11.0"/>
      <color rgb="FF000000"/>
      <name val="Google Sans"/>
    </font>
    <font>
      <sz val="11.0"/>
      <color rgb="FF222222"/>
      <name val="Google Sans"/>
    </font>
    <font>
      <sz val="11.0"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E8E9"/>
        <bgColor rgb="FFF4E8E9"/>
      </patternFill>
    </fill>
    <fill>
      <patternFill patternType="solid">
        <fgColor rgb="FF722F37"/>
        <bgColor rgb="FF722F37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 style="thin">
        <color rgb="FFDDDDDD"/>
      </bottom>
    </border>
    <border>
      <left/>
      <right/>
      <top/>
      <bottom/>
    </border>
    <border>
      <bottom style="thin">
        <color rgb="FFDDDDDD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2" fillId="3" fontId="4" numFmtId="0" xfId="0" applyAlignment="1" applyBorder="1" applyFill="1" applyFont="1">
      <alignment vertical="center"/>
    </xf>
    <xf borderId="0" fillId="0" fontId="5" numFmtId="0" xfId="0" applyFont="1"/>
    <xf borderId="1" fillId="2" fontId="6" numFmtId="0" xfId="0" applyBorder="1" applyFill="1" applyFont="1"/>
    <xf borderId="2" fillId="3" fontId="7" numFmtId="0" xfId="0" applyAlignment="1" applyBorder="1" applyFill="1" applyFont="1">
      <alignment vertical="center"/>
    </xf>
    <xf borderId="0" fillId="3" fontId="8" numFmtId="0" xfId="0" applyAlignment="1" applyFill="1" applyFont="1">
      <alignment shrinkToFit="0" wrapText="0"/>
    </xf>
    <xf borderId="0" fillId="0" fontId="9" numFmtId="0" xfId="0" applyFont="1"/>
    <xf borderId="0" fillId="0" fontId="6" numFmtId="0" xfId="0" applyFont="1"/>
    <xf borderId="1" fillId="2" fontId="10" numFmtId="0" xfId="0" applyBorder="1" applyFill="1" applyFont="1"/>
    <xf borderId="0" fillId="0" fontId="11" numFmtId="0" xfId="0" applyFont="1"/>
    <xf borderId="0" fillId="0" fontId="12" numFmtId="0" xfId="0" applyAlignment="1" applyFont="1">
      <alignment shrinkToFit="0" vertical="bottom" wrapText="0"/>
    </xf>
    <xf borderId="1" fillId="2" fontId="10" numFmtId="0" xfId="0" applyAlignment="1" applyBorder="1" applyFill="1" applyFont="1">
      <alignment readingOrder="0"/>
    </xf>
    <xf borderId="3" fillId="0" fontId="13" numFmtId="0" xfId="0" applyAlignment="1" applyBorder="1" applyFont="1">
      <alignment shrinkToFit="0" vertical="bottom" wrapText="0"/>
    </xf>
    <xf borderId="1" fillId="2" fontId="13" numFmtId="0" xfId="0" applyAlignment="1" applyBorder="1" applyFill="1" applyFont="1">
      <alignment vertical="bottom"/>
    </xf>
    <xf borderId="1" fillId="2" fontId="14" numFmtId="0" xfId="0" applyAlignment="1" applyBorder="1" applyFill="1" applyFont="1">
      <alignment vertical="bottom"/>
    </xf>
    <xf borderId="1" fillId="2" fontId="15" numFmtId="0" xfId="0" applyAlignment="1" applyBorder="1" applyFill="1" applyFont="1">
      <alignment vertical="bottom"/>
    </xf>
    <xf borderId="0" fillId="0" fontId="16" numFmtId="0" xfId="0" applyAlignment="1" applyFont="1">
      <alignment shrinkToFit="0" vertical="bottom" wrapText="0"/>
    </xf>
    <xf borderId="3" fillId="0" fontId="2" numFmtId="0" xfId="0" applyBorder="1" applyFont="1"/>
    <xf borderId="3" fillId="0" fontId="6" numFmtId="0" xfId="0" applyBorder="1" applyFont="1"/>
    <xf borderId="1" fillId="2" fontId="6" numFmtId="0" xfId="0" applyAlignment="1" applyBorder="1" applyFill="1" applyFont="1">
      <alignment horizontal="left"/>
    </xf>
    <xf borderId="0" fillId="0" fontId="17" numFmtId="0" xfId="0" applyAlignment="1" applyFont="1">
      <alignment shrinkToFit="0" vertical="bottom" wrapText="0"/>
    </xf>
    <xf borderId="0" fillId="0" fontId="2" numFmtId="0" xfId="0" applyFont="1"/>
    <xf borderId="3" fillId="0" fontId="18" numFmtId="0" xfId="0" applyAlignment="1" applyBorder="1" applyFont="1">
      <alignment shrinkToFit="0" vertical="bottom" wrapText="0"/>
    </xf>
    <xf borderId="1" fillId="2" fontId="19" numFmtId="0" xfId="0" applyBorder="1" applyFill="1" applyFont="1"/>
    <xf borderId="1" fillId="2" fontId="2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vertical="bottom"/>
    </xf>
    <xf borderId="1" fillId="2" fontId="12" numFmtId="0" xfId="0" applyAlignment="1" applyBorder="1" applyFill="1" applyFont="1">
      <alignment vertical="bottom"/>
    </xf>
    <xf borderId="3" fillId="0" fontId="20" numFmtId="0" xfId="0" applyBorder="1" applyFont="1"/>
    <xf borderId="3" fillId="2" fontId="13" numFmtId="0" xfId="0" applyAlignment="1" applyBorder="1" applyFill="1" applyFont="1">
      <alignment shrinkToFit="0" vertical="bottom" wrapText="0"/>
    </xf>
    <xf borderId="3" fillId="2" fontId="21" numFmtId="0" xfId="0" applyAlignment="1" applyBorder="1" applyFill="1" applyFont="1">
      <alignment shrinkToFit="0" vertical="bottom" wrapText="0"/>
    </xf>
    <xf borderId="0" fillId="0" fontId="22" numFmtId="0" xfId="0" applyFont="1"/>
    <xf borderId="0" fillId="0" fontId="23" numFmtId="0" xfId="0" applyFont="1"/>
    <xf borderId="3" fillId="2" fontId="2" numFmtId="0" xfId="0" applyBorder="1" applyFill="1" applyFont="1"/>
    <xf borderId="3" fillId="2" fontId="6" numFmtId="0" xfId="0" applyBorder="1" applyFill="1" applyFont="1"/>
    <xf borderId="3" fillId="2" fontId="6" numFmtId="0" xfId="0" applyAlignment="1" applyBorder="1" applyFill="1" applyFont="1">
      <alignment horizontal="left"/>
    </xf>
    <xf borderId="3" fillId="2" fontId="2" numFmtId="0" xfId="0" applyAlignment="1" applyBorder="1" applyFill="1" applyFont="1">
      <alignment readingOrder="0"/>
    </xf>
    <xf borderId="0" fillId="4" fontId="24" numFmtId="0" xfId="0" applyAlignment="1" applyFill="1" applyFont="1">
      <alignment horizontal="left"/>
    </xf>
    <xf borderId="0" fillId="4" fontId="25" numFmtId="0" xfId="0" applyFill="1" applyFont="1"/>
    <xf borderId="0" fillId="4" fontId="26" numFmtId="0" xfId="0" applyFill="1" applyFont="1"/>
    <xf borderId="1" fillId="2" fontId="27" numFmtId="0" xfId="0" applyBorder="1" applyFill="1" applyFont="1"/>
    <xf borderId="0" fillId="0" fontId="28" numFmtId="0" xfId="0" applyFont="1"/>
    <xf borderId="0" fillId="0" fontId="29" numFmtId="0" xfId="0" applyAlignment="1" applyFont="1">
      <alignment shrinkToFit="0" vertical="bottom" wrapText="0"/>
    </xf>
    <xf borderId="0" fillId="2" fontId="13" numFmtId="0" xfId="0" applyAlignment="1" applyFill="1" applyFont="1">
      <alignment vertical="bottom"/>
    </xf>
    <xf borderId="0" fillId="2" fontId="15" numFmtId="0" xfId="0" applyAlignment="1" applyFill="1" applyFont="1">
      <alignment vertical="bottom"/>
    </xf>
    <xf borderId="0" fillId="2" fontId="2" numFmtId="0" xfId="0" applyFill="1" applyFont="1"/>
    <xf borderId="0" fillId="2" fontId="6" numFmtId="0" xfId="0" applyFill="1" applyFont="1"/>
    <xf borderId="0" fillId="2" fontId="9" numFmtId="0" xfId="0" applyFill="1" applyFont="1"/>
    <xf borderId="0" fillId="2" fontId="28" numFmtId="0" xfId="0" applyFill="1" applyFont="1"/>
    <xf borderId="0" fillId="2" fontId="30" numFmtId="0" xfId="0" applyAlignment="1" applyFill="1" applyFont="1">
      <alignment vertical="bottom"/>
    </xf>
    <xf quotePrefix="1" borderId="3" fillId="2" fontId="13" numFmtId="49" xfId="0" applyAlignment="1" applyBorder="1" applyFill="1" applyFont="1" applyNumberFormat="1">
      <alignment shrinkToFit="0" vertical="bottom" wrapText="0"/>
    </xf>
    <xf quotePrefix="1" borderId="3" fillId="0" fontId="13" numFmtId="49" xfId="0" applyAlignment="1" applyBorder="1" applyFont="1" applyNumberFormat="1">
      <alignment shrinkToFit="0" vertical="bottom" wrapText="0"/>
    </xf>
    <xf borderId="3" fillId="0" fontId="13" numFmtId="49" xfId="0" applyAlignment="1" applyBorder="1" applyFont="1" applyNumberFormat="1">
      <alignment shrinkToFit="0" vertical="bottom" wrapText="0"/>
    </xf>
    <xf borderId="0" fillId="0" fontId="31" numFmtId="0" xfId="0" applyFont="1"/>
    <xf borderId="3" fillId="0" fontId="6" numFmtId="0" xfId="0" applyAlignment="1" applyBorder="1" applyFont="1">
      <alignment horizontal="left"/>
    </xf>
    <xf borderId="0" fillId="4" fontId="32" numFmtId="0" xfId="0" applyFill="1" applyFont="1"/>
    <xf borderId="0" fillId="4" fontId="33" numFmtId="0" xfId="0" applyFill="1" applyFont="1"/>
    <xf borderId="0" fillId="0" fontId="13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upuitslory@gmail.com" TargetMode="External"/><Relationship Id="rId2" Type="http://schemas.openxmlformats.org/officeDocument/2006/relationships/hyperlink" Target="mailto:contact@beaucarnea.io" TargetMode="External"/><Relationship Id="rId3" Type="http://schemas.openxmlformats.org/officeDocument/2006/relationships/hyperlink" Target="mailto:vignesdor.lorient@gmail.com" TargetMode="External"/><Relationship Id="rId4" Type="http://schemas.openxmlformats.org/officeDocument/2006/relationships/hyperlink" Target="mailto:laforgeauxvins@orange.fr" TargetMode="External"/><Relationship Id="rId5" Type="http://schemas.openxmlformats.org/officeDocument/2006/relationships/hyperlink" Target="mailto:vincent@cavedekervault.fr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acalegourmande.fr/" TargetMode="External"/><Relationship Id="rId22" Type="http://schemas.openxmlformats.org/officeDocument/2006/relationships/hyperlink" Target="https://samoussas-accras.fr/" TargetMode="External"/><Relationship Id="rId21" Type="http://schemas.openxmlformats.org/officeDocument/2006/relationships/hyperlink" Target="https://www.ahlacerisesurlegateau.fr/" TargetMode="External"/><Relationship Id="rId24" Type="http://schemas.openxmlformats.org/officeDocument/2006/relationships/hyperlink" Target="https://www.dbatraiteur.fr/" TargetMode="External"/><Relationship Id="rId23" Type="http://schemas.openxmlformats.org/officeDocument/2006/relationships/hyperlink" Target="https://www.charcuterie-chauveau.com/" TargetMode="External"/><Relationship Id="rId1" Type="http://schemas.openxmlformats.org/officeDocument/2006/relationships/hyperlink" Target="https://www.traiteur-marsac.com/" TargetMode="External"/><Relationship Id="rId2" Type="http://schemas.openxmlformats.org/officeDocument/2006/relationships/hyperlink" Target="https://www.traiteur-toutesaides.fr" TargetMode="External"/><Relationship Id="rId3" Type="http://schemas.openxmlformats.org/officeDocument/2006/relationships/hyperlink" Target="https://www.traiteur-rabouin.fr/" TargetMode="External"/><Relationship Id="rId4" Type="http://schemas.openxmlformats.org/officeDocument/2006/relationships/hyperlink" Target="https://www.brisontraiteur.com" TargetMode="External"/><Relationship Id="rId9" Type="http://schemas.openxmlformats.org/officeDocument/2006/relationships/hyperlink" Target="https://ilore.eatbu.com" TargetMode="External"/><Relationship Id="rId26" Type="http://schemas.openxmlformats.org/officeDocument/2006/relationships/hyperlink" Target="https://www.traiteur-sablais.fr/" TargetMode="External"/><Relationship Id="rId25" Type="http://schemas.openxmlformats.org/officeDocument/2006/relationships/hyperlink" Target="https://solutionrepas.wordpress.com/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les-saveurs-dophelie.fr/fr/page/accueil" TargetMode="External"/><Relationship Id="rId5" Type="http://schemas.openxmlformats.org/officeDocument/2006/relationships/hyperlink" Target="https://citruscaferestaurant.fr" TargetMode="External"/><Relationship Id="rId6" Type="http://schemas.openxmlformats.org/officeDocument/2006/relationships/hyperlink" Target="https://www.epikur.fr" TargetMode="External"/><Relationship Id="rId7" Type="http://schemas.openxmlformats.org/officeDocument/2006/relationships/hyperlink" Target="https://ezope-restaurant.com" TargetMode="External"/><Relationship Id="rId8" Type="http://schemas.openxmlformats.org/officeDocument/2006/relationships/hyperlink" Target="https://www.gbtraiteur.com/" TargetMode="External"/><Relationship Id="rId11" Type="http://schemas.openxmlformats.org/officeDocument/2006/relationships/hyperlink" Target="https://www.laparisienne-traiteur.fr/" TargetMode="External"/><Relationship Id="rId10" Type="http://schemas.openxmlformats.org/officeDocument/2006/relationships/hyperlink" Target="https://sites.google.com/view/restaurantindiengrill" TargetMode="External"/><Relationship Id="rId13" Type="http://schemas.openxmlformats.org/officeDocument/2006/relationships/hyperlink" Target="https://www.restaurant-russe-m-strogoff.fr" TargetMode="External"/><Relationship Id="rId12" Type="http://schemas.openxmlformats.org/officeDocument/2006/relationships/hyperlink" Target="https://nantes.lehomardfrites.com" TargetMode="External"/><Relationship Id="rId15" Type="http://schemas.openxmlformats.org/officeDocument/2006/relationships/hyperlink" Target="https://www.atable-naturellement.fr" TargetMode="External"/><Relationship Id="rId14" Type="http://schemas.openxmlformats.org/officeDocument/2006/relationships/hyperlink" Target="https://qrepcontact.wixsite.com/monsite" TargetMode="External"/><Relationship Id="rId17" Type="http://schemas.openxmlformats.org/officeDocument/2006/relationships/hyperlink" Target="https://www.breizhou.fr/" TargetMode="External"/><Relationship Id="rId16" Type="http://schemas.openxmlformats.org/officeDocument/2006/relationships/hyperlink" Target="https://www.angau-traiteur-rennes.fr/" TargetMode="External"/><Relationship Id="rId19" Type="http://schemas.openxmlformats.org/officeDocument/2006/relationships/hyperlink" Target="https://www.le-petit-bonheur-verger.fr" TargetMode="External"/><Relationship Id="rId18" Type="http://schemas.openxmlformats.org/officeDocument/2006/relationships/hyperlink" Target="https://chez-arthur.eatbu.com/?lang=fr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bcterroirs.com/" TargetMode="External"/><Relationship Id="rId2" Type="http://schemas.openxmlformats.org/officeDocument/2006/relationships/hyperlink" Target="https://aupalaisgourmand.net/" TargetMode="External"/><Relationship Id="rId3" Type="http://schemas.openxmlformats.org/officeDocument/2006/relationships/hyperlink" Target="https://www.chezmeme44.fr" TargetMode="External"/><Relationship Id="rId4" Type="http://schemas.openxmlformats.org/officeDocument/2006/relationships/hyperlink" Target="https://www.ducepageaufromage.fr" TargetMode="External"/><Relationship Id="rId9" Type="http://schemas.openxmlformats.org/officeDocument/2006/relationships/hyperlink" Target="https://laboutiquesolidaire.com/" TargetMode="External"/><Relationship Id="rId5" Type="http://schemas.openxmlformats.org/officeDocument/2006/relationships/hyperlink" Target="https://www.leroidesnems.fr" TargetMode="External"/><Relationship Id="rId6" Type="http://schemas.openxmlformats.org/officeDocument/2006/relationships/hyperlink" Target="https://sain-nantes.com/" TargetMode="External"/><Relationship Id="rId7" Type="http://schemas.openxmlformats.org/officeDocument/2006/relationships/hyperlink" Target="https://www.terravega.fr/" TargetMode="External"/><Relationship Id="rId8" Type="http://schemas.openxmlformats.org/officeDocument/2006/relationships/hyperlink" Target="https://www.facebook.com/casabellipanni" TargetMode="External"/><Relationship Id="rId11" Type="http://schemas.openxmlformats.org/officeDocument/2006/relationships/hyperlink" Target="https://www.laiterie-gilbert.fr" TargetMode="External"/><Relationship Id="rId10" Type="http://schemas.openxmlformats.org/officeDocument/2006/relationships/hyperlink" Target="https://www.alimentari-angers.fr/" TargetMode="External"/><Relationship Id="rId13" Type="http://schemas.openxmlformats.org/officeDocument/2006/relationships/hyperlink" Target="https://lamaisondoya.fr/" TargetMode="External"/><Relationship Id="rId12" Type="http://schemas.openxmlformats.org/officeDocument/2006/relationships/hyperlink" Target="https://autourdupastis-85.fr/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www.lacourdorgeres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rveur-restaurant.fr/" TargetMode="External"/><Relationship Id="rId2" Type="http://schemas.openxmlformats.org/officeDocument/2006/relationships/hyperlink" Target="https://lerelais-angers.fr/" TargetMode="External"/><Relationship Id="rId3" Type="http://schemas.openxmlformats.org/officeDocument/2006/relationships/hyperlink" Target="https://www.sol-e-luna.fr/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emagichall.com/" TargetMode="External"/><Relationship Id="rId42" Type="http://schemas.openxmlformats.org/officeDocument/2006/relationships/hyperlink" Target="https://www.accorhotels.com/" TargetMode="External"/><Relationship Id="rId41" Type="http://schemas.openxmlformats.org/officeDocument/2006/relationships/hyperlink" Target="https://www.hotel-levictoria.com/" TargetMode="External"/><Relationship Id="rId44" Type="http://schemas.openxmlformats.org/officeDocument/2006/relationships/hyperlink" Target="http://www.campanile-rennes-sud-saint-jacques.fr" TargetMode="External"/><Relationship Id="rId43" Type="http://schemas.openxmlformats.org/officeDocument/2006/relationships/hyperlink" Target="https://www.hotel-leliondor.fr/" TargetMode="External"/><Relationship Id="rId46" Type="http://schemas.openxmlformats.org/officeDocument/2006/relationships/hyperlink" Target="https://www.hoteldumainelaval.com/" TargetMode="External"/><Relationship Id="rId45" Type="http://schemas.openxmlformats.org/officeDocument/2006/relationships/hyperlink" Target="http://www.hotellestroismarches.com/" TargetMode="External"/><Relationship Id="rId1" Type="http://schemas.openxmlformats.org/officeDocument/2006/relationships/hyperlink" Target="https://www.hotel-nantes-laregate.com/fr/" TargetMode="External"/><Relationship Id="rId2" Type="http://schemas.openxmlformats.org/officeDocument/2006/relationships/hyperlink" Target="https://all.accor.com/hotel/5692/index.fr.shtml" TargetMode="External"/><Relationship Id="rId3" Type="http://schemas.openxmlformats.org/officeDocument/2006/relationships/hyperlink" Target="https://www.maisonmaubreuil.com/fr/" TargetMode="External"/><Relationship Id="rId4" Type="http://schemas.openxmlformats.org/officeDocument/2006/relationships/hyperlink" Target="https://all.accor.com/hotel/1985/index.fr.shtml" TargetMode="External"/><Relationship Id="rId9" Type="http://schemas.openxmlformats.org/officeDocument/2006/relationships/hyperlink" Target="https://www.hotel-graslin.com" TargetMode="External"/><Relationship Id="rId48" Type="http://schemas.openxmlformats.org/officeDocument/2006/relationships/hyperlink" Target="https://hotel-mayenne.brithotel.fr/" TargetMode="External"/><Relationship Id="rId47" Type="http://schemas.openxmlformats.org/officeDocument/2006/relationships/hyperlink" Target="https://all.accor.com/hotel/B0L9/index.fr.shtml" TargetMode="External"/><Relationship Id="rId49" Type="http://schemas.openxmlformats.org/officeDocument/2006/relationships/hyperlink" Target="https://www.villa-arthusbertrand.com/" TargetMode="External"/><Relationship Id="rId5" Type="http://schemas.openxmlformats.org/officeDocument/2006/relationships/hyperlink" Target="https://www.oceaniahotels.com" TargetMode="External"/><Relationship Id="rId6" Type="http://schemas.openxmlformats.org/officeDocument/2006/relationships/hyperlink" Target="https://www.7urbansuites.fr/" TargetMode="External"/><Relationship Id="rId7" Type="http://schemas.openxmlformats.org/officeDocument/2006/relationships/hyperlink" Target="https://www.cimesbleues.com/" TargetMode="External"/><Relationship Id="rId8" Type="http://schemas.openxmlformats.org/officeDocument/2006/relationships/hyperlink" Target="http://www.restaurantlocean.com" TargetMode="External"/><Relationship Id="rId72" Type="http://schemas.openxmlformats.org/officeDocument/2006/relationships/drawing" Target="../drawings/drawing8.xml"/><Relationship Id="rId31" Type="http://schemas.openxmlformats.org/officeDocument/2006/relationships/hyperlink" Target="http://www.hotel-de-la-chaussairie.com/" TargetMode="External"/><Relationship Id="rId30" Type="http://schemas.openxmlformats.org/officeDocument/2006/relationships/hyperlink" Target="https://hotel-ortega-rennes.fr" TargetMode="External"/><Relationship Id="rId33" Type="http://schemas.openxmlformats.org/officeDocument/2006/relationships/hyperlink" Target="https://www.avaugourhotel.com/" TargetMode="External"/><Relationship Id="rId32" Type="http://schemas.openxmlformats.org/officeDocument/2006/relationships/hyperlink" Target="https://hotel-dinan.fr/" TargetMode="External"/><Relationship Id="rId35" Type="http://schemas.openxmlformats.org/officeDocument/2006/relationships/hyperlink" Target="https://www.levalmarin.com/" TargetMode="External"/><Relationship Id="rId34" Type="http://schemas.openxmlformats.org/officeDocument/2006/relationships/hyperlink" Target="https://lenemourshotel.com/" TargetMode="External"/><Relationship Id="rId71" Type="http://schemas.openxmlformats.org/officeDocument/2006/relationships/hyperlink" Target="https://all.accor.com/hotel/0909/index.fr.shtml" TargetMode="External"/><Relationship Id="rId70" Type="http://schemas.openxmlformats.org/officeDocument/2006/relationships/hyperlink" Target="https://www.hotel-lapetitesirene.fr/" TargetMode="External"/><Relationship Id="rId37" Type="http://schemas.openxmlformats.org/officeDocument/2006/relationships/hyperlink" Target="https://www.hotel-rennes.com/" TargetMode="External"/><Relationship Id="rId36" Type="http://schemas.openxmlformats.org/officeDocument/2006/relationships/hyperlink" Target="https://www.belair-hotelcrevin.com/" TargetMode="External"/><Relationship Id="rId39" Type="http://schemas.openxmlformats.org/officeDocument/2006/relationships/hyperlink" Target="https://www.kyriad.com/fr/hotels/kyriad-rennes-centre" TargetMode="External"/><Relationship Id="rId38" Type="http://schemas.openxmlformats.org/officeDocument/2006/relationships/hyperlink" Target="http://www.ibis.com" TargetMode="External"/><Relationship Id="rId62" Type="http://schemas.openxmlformats.org/officeDocument/2006/relationships/hyperlink" Target="https://www.lesprateaux.com/" TargetMode="External"/><Relationship Id="rId61" Type="http://schemas.openxmlformats.org/officeDocument/2006/relationships/hyperlink" Target="https://www.lavillaenlile.com/" TargetMode="External"/><Relationship Id="rId20" Type="http://schemas.openxmlformats.org/officeDocument/2006/relationships/hyperlink" Target="https://www.hotel-mont-saint-michel.com/" TargetMode="External"/><Relationship Id="rId64" Type="http://schemas.openxmlformats.org/officeDocument/2006/relationships/hyperlink" Target="https://www.carnaclodge.com/" TargetMode="External"/><Relationship Id="rId63" Type="http://schemas.openxmlformats.org/officeDocument/2006/relationships/hyperlink" Target="https://www.domainerochevilaine.com/fr/" TargetMode="External"/><Relationship Id="rId22" Type="http://schemas.openxmlformats.org/officeDocument/2006/relationships/hyperlink" Target="https://www.hotelarvordinan.com/" TargetMode="External"/><Relationship Id="rId66" Type="http://schemas.openxmlformats.org/officeDocument/2006/relationships/hyperlink" Target="https://www.marebaudiere.com/" TargetMode="External"/><Relationship Id="rId21" Type="http://schemas.openxmlformats.org/officeDocument/2006/relationships/hyperlink" Target="http://hotel-rennes-stade.brithotel.fr/" TargetMode="External"/><Relationship Id="rId65" Type="http://schemas.openxmlformats.org/officeDocument/2006/relationships/hyperlink" Target="http://www.hotel-hippocampe.fr/" TargetMode="External"/><Relationship Id="rId24" Type="http://schemas.openxmlformats.org/officeDocument/2006/relationships/hyperlink" Target="http://www.ibishotel.com" TargetMode="External"/><Relationship Id="rId68" Type="http://schemas.openxmlformats.org/officeDocument/2006/relationships/hyperlink" Target="https://www.domaine-moulin-neuf.com/" TargetMode="External"/><Relationship Id="rId23" Type="http://schemas.openxmlformats.org/officeDocument/2006/relationships/hyperlink" Target="http://www.hotelgabriel-montsaintmichel.com" TargetMode="External"/><Relationship Id="rId67" Type="http://schemas.openxmlformats.org/officeDocument/2006/relationships/hyperlink" Target="https://www.celtic-hotel.fr/" TargetMode="External"/><Relationship Id="rId60" Type="http://schemas.openxmlformats.org/officeDocument/2006/relationships/hyperlink" Target="https://www.hotel-noirmoutier.com/" TargetMode="External"/><Relationship Id="rId26" Type="http://schemas.openxmlformats.org/officeDocument/2006/relationships/hyperlink" Target="http://www.hotel-des-lices.com" TargetMode="External"/><Relationship Id="rId25" Type="http://schemas.openxmlformats.org/officeDocument/2006/relationships/hyperlink" Target="https://hotelportemalo.com/fr" TargetMode="External"/><Relationship Id="rId69" Type="http://schemas.openxmlformats.org/officeDocument/2006/relationships/hyperlink" Target="https://www.domaine-kerioche.com/" TargetMode="External"/><Relationship Id="rId28" Type="http://schemas.openxmlformats.org/officeDocument/2006/relationships/hyperlink" Target="http://www.leconnetabledinan.com/" TargetMode="External"/><Relationship Id="rId27" Type="http://schemas.openxmlformats.org/officeDocument/2006/relationships/hyperlink" Target="https://www.hotelduchateau-dinan.com/" TargetMode="External"/><Relationship Id="rId29" Type="http://schemas.openxmlformats.org/officeDocument/2006/relationships/hyperlink" Target="http://www.ibis.com" TargetMode="External"/><Relationship Id="rId51" Type="http://schemas.openxmlformats.org/officeDocument/2006/relationships/hyperlink" Target="https://www.atlantichotel.fr/" TargetMode="External"/><Relationship Id="rId50" Type="http://schemas.openxmlformats.org/officeDocument/2006/relationships/hyperlink" Target="https://www.hotelpuntalara.com/" TargetMode="External"/><Relationship Id="rId53" Type="http://schemas.openxmlformats.org/officeDocument/2006/relationships/hyperlink" Target="https://fleurdesel.fr" TargetMode="External"/><Relationship Id="rId52" Type="http://schemas.openxmlformats.org/officeDocument/2006/relationships/hyperlink" Target="https://prestige-les-sables-dolonne-plage.kyriad.com/fr-fr/" TargetMode="External"/><Relationship Id="rId11" Type="http://schemas.openxmlformats.org/officeDocument/2006/relationships/hyperlink" Target="https://www.oldegar-nantes.com/" TargetMode="External"/><Relationship Id="rId55" Type="http://schemas.openxmlformats.org/officeDocument/2006/relationships/hyperlink" Target="https://www.hoteldesdunesnoirmoutier.com/" TargetMode="External"/><Relationship Id="rId10" Type="http://schemas.openxmlformats.org/officeDocument/2006/relationships/hyperlink" Target="http://www.ibis.com" TargetMode="External"/><Relationship Id="rId54" Type="http://schemas.openxmlformats.org/officeDocument/2006/relationships/hyperlink" Target="https://www.generaldelbee.fr/" TargetMode="External"/><Relationship Id="rId13" Type="http://schemas.openxmlformats.org/officeDocument/2006/relationships/hyperlink" Target="https://www.chateaudenoirieux.com/" TargetMode="External"/><Relationship Id="rId57" Type="http://schemas.openxmlformats.org/officeDocument/2006/relationships/hyperlink" Target="https://accorhotels.com" TargetMode="External"/><Relationship Id="rId12" Type="http://schemas.openxmlformats.org/officeDocument/2006/relationships/hyperlink" Target="https://www.surehotel-saintherblain.com" TargetMode="External"/><Relationship Id="rId56" Type="http://schemas.openxmlformats.org/officeDocument/2006/relationships/hyperlink" Target="https://smilydream.com/" TargetMode="External"/><Relationship Id="rId15" Type="http://schemas.openxmlformats.org/officeDocument/2006/relationships/hyperlink" Target="https://www.grandhoteldelagare-angers.com/" TargetMode="External"/><Relationship Id="rId59" Type="http://schemas.openxmlformats.org/officeDocument/2006/relationships/hyperlink" Target="https://www.hotel-saint-paul.net/" TargetMode="External"/><Relationship Id="rId14" Type="http://schemas.openxmlformats.org/officeDocument/2006/relationships/hyperlink" Target="https://www.hotel-anneanjou.com/" TargetMode="External"/><Relationship Id="rId58" Type="http://schemas.openxmlformats.org/officeDocument/2006/relationships/hyperlink" Target="https://www.ancremarine.com/" TargetMode="External"/><Relationship Id="rId17" Type="http://schemas.openxmlformats.org/officeDocument/2006/relationships/hyperlink" Target="https://all.accor.com/hotel/6920/index.fr.shtml" TargetMode="External"/><Relationship Id="rId16" Type="http://schemas.openxmlformats.org/officeDocument/2006/relationships/hyperlink" Target="https://hoteldechampagne.com/" TargetMode="External"/><Relationship Id="rId19" Type="http://schemas.openxmlformats.org/officeDocument/2006/relationships/hyperlink" Target="https://www.domaine-du-limonay.com/fr/maison-tirel-guerin/" TargetMode="External"/><Relationship Id="rId18" Type="http://schemas.openxmlformats.org/officeDocument/2006/relationships/hyperlink" Target="https://www.domaine-golf-saumur.com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udsf-france.com/bretagne" TargetMode="External"/><Relationship Id="rId2" Type="http://schemas.openxmlformats.org/officeDocument/2006/relationships/hyperlink" Target="http://udsf-france.com/bretagne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9" width="13.0"/>
  </cols>
  <sheetData>
    <row r="1">
      <c r="A1" s="1" t="s">
        <v>0</v>
      </c>
    </row>
    <row r="2">
      <c r="A2" s="3" t="s">
        <v>2</v>
      </c>
    </row>
    <row r="4">
      <c r="A4" s="5" t="s">
        <v>4</v>
      </c>
      <c r="C4" s="5">
        <v>2094.0</v>
      </c>
    </row>
    <row r="6">
      <c r="A6" s="5" t="s">
        <v>6</v>
      </c>
    </row>
    <row r="7">
      <c r="A7" s="5" t="s">
        <v>8</v>
      </c>
      <c r="B7" s="5" t="s">
        <v>10</v>
      </c>
      <c r="C7" s="5" t="s">
        <v>11</v>
      </c>
      <c r="D7" s="5" t="s">
        <v>13</v>
      </c>
      <c r="E7" s="5" t="s">
        <v>15</v>
      </c>
      <c r="F7" s="5" t="s">
        <v>16</v>
      </c>
      <c r="G7" s="5" t="s">
        <v>19</v>
      </c>
      <c r="H7" s="5" t="s">
        <v>21</v>
      </c>
      <c r="I7" s="5" t="s">
        <v>23</v>
      </c>
    </row>
    <row r="8">
      <c r="A8" s="10" t="s">
        <v>7</v>
      </c>
      <c r="B8" s="10">
        <v>68.0</v>
      </c>
      <c r="C8" s="10">
        <v>43.0</v>
      </c>
      <c r="D8" s="10">
        <v>50.0</v>
      </c>
      <c r="E8" s="10">
        <v>12.0</v>
      </c>
      <c r="F8" s="10">
        <v>59.0</v>
      </c>
      <c r="G8" s="10">
        <v>717.0</v>
      </c>
      <c r="H8" s="10">
        <v>14.0</v>
      </c>
      <c r="I8" s="5">
        <v>963.0</v>
      </c>
    </row>
    <row r="9">
      <c r="A9" s="10" t="s">
        <v>33</v>
      </c>
      <c r="B9" s="10">
        <v>16.0</v>
      </c>
      <c r="C9" s="10">
        <v>46.0</v>
      </c>
      <c r="D9" s="10">
        <v>2.0</v>
      </c>
      <c r="E9" s="10">
        <v>3.0</v>
      </c>
      <c r="F9" s="10">
        <v>83.0</v>
      </c>
      <c r="G9" s="10">
        <v>385.0</v>
      </c>
      <c r="H9" s="10">
        <v>6.0</v>
      </c>
      <c r="I9" s="5">
        <v>541.0</v>
      </c>
    </row>
    <row r="10">
      <c r="A10" s="10" t="s">
        <v>37</v>
      </c>
      <c r="B10" s="10">
        <v>12.0</v>
      </c>
      <c r="C10" s="10">
        <v>17.0</v>
      </c>
      <c r="D10" s="10">
        <v>15.0</v>
      </c>
      <c r="E10" s="10">
        <v>0.0</v>
      </c>
      <c r="F10" s="10">
        <v>15.0</v>
      </c>
      <c r="G10" s="10">
        <v>130.0</v>
      </c>
      <c r="H10" s="10">
        <v>3.0</v>
      </c>
      <c r="I10" s="5">
        <v>192.0</v>
      </c>
    </row>
    <row r="11">
      <c r="A11" s="10" t="s">
        <v>42</v>
      </c>
      <c r="B11" s="10">
        <v>36.0</v>
      </c>
      <c r="C11" s="10">
        <v>2.0</v>
      </c>
      <c r="D11" s="10">
        <v>1.0</v>
      </c>
      <c r="E11" s="10">
        <v>3.0</v>
      </c>
      <c r="F11" s="10">
        <v>0.0</v>
      </c>
      <c r="G11" s="10">
        <v>30.0</v>
      </c>
      <c r="H11" s="10">
        <v>11.0</v>
      </c>
      <c r="I11" s="5">
        <v>83.0</v>
      </c>
    </row>
    <row r="12">
      <c r="A12" s="10" t="s">
        <v>47</v>
      </c>
      <c r="B12" s="10">
        <v>23.0</v>
      </c>
      <c r="C12" s="10">
        <v>0.0</v>
      </c>
      <c r="D12" s="10">
        <v>4.0</v>
      </c>
      <c r="E12" s="10">
        <v>2.0</v>
      </c>
      <c r="F12" s="10">
        <v>0.0</v>
      </c>
      <c r="G12" s="10">
        <v>41.0</v>
      </c>
      <c r="H12" s="10">
        <v>15.0</v>
      </c>
      <c r="I12" s="5">
        <v>85.0</v>
      </c>
    </row>
    <row r="13">
      <c r="A13" s="10" t="s">
        <v>52</v>
      </c>
      <c r="B13" s="10">
        <v>57.0</v>
      </c>
      <c r="C13" s="10">
        <v>7.0</v>
      </c>
      <c r="D13" s="10">
        <v>8.0</v>
      </c>
      <c r="E13" s="10">
        <v>1.0</v>
      </c>
      <c r="F13" s="10">
        <v>0.0</v>
      </c>
      <c r="G13" s="10">
        <v>130.0</v>
      </c>
      <c r="H13" s="10">
        <v>27.0</v>
      </c>
      <c r="I13" s="5">
        <v>230.0</v>
      </c>
    </row>
    <row r="14">
      <c r="A14" s="5" t="s">
        <v>23</v>
      </c>
      <c r="B14" s="5">
        <v>212.0</v>
      </c>
      <c r="C14" s="5">
        <v>115.0</v>
      </c>
      <c r="D14" s="5">
        <v>80.0</v>
      </c>
      <c r="E14" s="5">
        <v>21.0</v>
      </c>
      <c r="F14" s="5">
        <v>157.0</v>
      </c>
      <c r="G14" s="5">
        <v>1433.0</v>
      </c>
      <c r="H14" s="5">
        <v>76.0</v>
      </c>
      <c r="I14" s="5">
        <v>2094.0</v>
      </c>
    </row>
    <row r="16">
      <c r="A16" s="5" t="s">
        <v>65</v>
      </c>
      <c r="C16" s="5">
        <v>631.0</v>
      </c>
    </row>
    <row r="17">
      <c r="A17" s="12" t="s">
        <v>73</v>
      </c>
    </row>
    <row r="18">
      <c r="A18" s="5" t="s">
        <v>116</v>
      </c>
    </row>
    <row r="19">
      <c r="A19" s="10" t="s">
        <v>121</v>
      </c>
    </row>
    <row r="20">
      <c r="A20" s="10" t="s">
        <v>124</v>
      </c>
    </row>
    <row r="21" ht="15.75" customHeight="1">
      <c r="A21" s="10" t="s">
        <v>129</v>
      </c>
    </row>
    <row r="22" ht="15.75" customHeight="1">
      <c r="A22" s="10" t="s">
        <v>132</v>
      </c>
    </row>
    <row r="23" ht="15.75" customHeight="1">
      <c r="A23" s="10" t="s">
        <v>134</v>
      </c>
    </row>
    <row r="24" ht="15.75" customHeight="1">
      <c r="A24" s="10" t="s">
        <v>136</v>
      </c>
    </row>
    <row r="25" ht="15.75" customHeight="1">
      <c r="A25" s="10" t="s">
        <v>140</v>
      </c>
    </row>
    <row r="26" ht="15.75" customHeight="1">
      <c r="A26" s="10" t="s">
        <v>142</v>
      </c>
    </row>
    <row r="27" ht="15.75" customHeight="1">
      <c r="A27" s="10" t="s">
        <v>145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38.57"/>
    <col customWidth="1" min="3" max="3" width="7.0"/>
    <col customWidth="1" min="4" max="4" width="22.0"/>
    <col customWidth="1" min="5" max="5" width="34.0"/>
    <col customWidth="1" min="6" max="6" width="18.14"/>
    <col customWidth="1" min="7" max="7" width="24.57"/>
    <col customWidth="1" min="8" max="8" width="63.14"/>
    <col customWidth="1" min="9" max="9" width="58.57"/>
  </cols>
  <sheetData>
    <row r="1">
      <c r="A1" s="2" t="s">
        <v>1</v>
      </c>
      <c r="B1" s="6"/>
      <c r="C1" s="6"/>
      <c r="D1" s="6" t="s">
        <v>7</v>
      </c>
      <c r="E1" s="6"/>
      <c r="F1" s="6"/>
      <c r="G1" s="2"/>
      <c r="H1" s="6"/>
      <c r="I1" s="9" t="s">
        <v>18</v>
      </c>
    </row>
    <row r="2">
      <c r="A2" s="2" t="s">
        <v>25</v>
      </c>
      <c r="B2" s="6"/>
      <c r="C2" s="6"/>
      <c r="D2" s="6" t="s">
        <v>7</v>
      </c>
      <c r="E2" s="6" t="s">
        <v>28</v>
      </c>
      <c r="F2" s="6" t="s">
        <v>30</v>
      </c>
      <c r="G2" s="2"/>
      <c r="H2" s="6" t="s">
        <v>32</v>
      </c>
    </row>
    <row r="3">
      <c r="A3" s="2" t="s">
        <v>36</v>
      </c>
      <c r="B3" s="6"/>
      <c r="C3" s="6"/>
      <c r="D3" s="6" t="s">
        <v>7</v>
      </c>
      <c r="E3" s="6" t="s">
        <v>38</v>
      </c>
      <c r="F3" s="6" t="s">
        <v>39</v>
      </c>
      <c r="G3" s="2"/>
      <c r="H3" s="6" t="s">
        <v>41</v>
      </c>
    </row>
    <row r="4">
      <c r="A4" s="2" t="s">
        <v>43</v>
      </c>
      <c r="B4" s="6"/>
      <c r="C4" s="6"/>
      <c r="D4" s="6" t="s">
        <v>7</v>
      </c>
      <c r="E4" s="6" t="s">
        <v>45</v>
      </c>
      <c r="F4" s="6" t="s">
        <v>48</v>
      </c>
      <c r="G4" s="2"/>
      <c r="H4" s="6" t="s">
        <v>50</v>
      </c>
    </row>
    <row r="5">
      <c r="A5" s="2" t="s">
        <v>54</v>
      </c>
      <c r="B5" s="6"/>
      <c r="C5" s="6"/>
      <c r="D5" s="6" t="s">
        <v>7</v>
      </c>
      <c r="E5" s="6" t="s">
        <v>56</v>
      </c>
      <c r="F5" s="6" t="s">
        <v>57</v>
      </c>
      <c r="G5" s="2"/>
      <c r="H5" s="6" t="s">
        <v>60</v>
      </c>
    </row>
    <row r="6">
      <c r="A6" s="2" t="s">
        <v>63</v>
      </c>
      <c r="B6" s="6"/>
      <c r="C6" s="6"/>
      <c r="D6" s="6" t="s">
        <v>7</v>
      </c>
      <c r="E6" s="6" t="s">
        <v>66</v>
      </c>
      <c r="F6" s="6" t="s">
        <v>67</v>
      </c>
      <c r="G6" s="2" t="s">
        <v>68</v>
      </c>
      <c r="H6" s="6" t="s">
        <v>69</v>
      </c>
      <c r="I6" s="9" t="s">
        <v>70</v>
      </c>
    </row>
    <row r="7">
      <c r="A7" s="11" t="s">
        <v>72</v>
      </c>
      <c r="B7" s="6"/>
      <c r="C7" s="6"/>
      <c r="D7" s="6" t="s">
        <v>7</v>
      </c>
      <c r="E7" s="6" t="s">
        <v>75</v>
      </c>
      <c r="F7" s="6" t="s">
        <v>76</v>
      </c>
      <c r="G7" s="2"/>
      <c r="H7" s="6"/>
      <c r="I7" s="9" t="s">
        <v>77</v>
      </c>
    </row>
    <row r="8">
      <c r="A8" s="2" t="s">
        <v>80</v>
      </c>
      <c r="B8" s="6"/>
      <c r="C8" s="6"/>
      <c r="D8" s="6" t="s">
        <v>7</v>
      </c>
      <c r="E8" s="6" t="s">
        <v>82</v>
      </c>
      <c r="F8" s="6" t="s">
        <v>83</v>
      </c>
      <c r="G8" s="2"/>
      <c r="H8" s="6" t="s">
        <v>84</v>
      </c>
      <c r="I8" s="9" t="s">
        <v>86</v>
      </c>
    </row>
    <row r="9">
      <c r="A9" s="2" t="s">
        <v>89</v>
      </c>
      <c r="B9" s="6"/>
      <c r="C9" s="6"/>
      <c r="D9" s="6" t="s">
        <v>7</v>
      </c>
      <c r="E9" s="6" t="s">
        <v>91</v>
      </c>
      <c r="F9" s="6" t="s">
        <v>93</v>
      </c>
      <c r="G9" s="2"/>
      <c r="H9" s="6"/>
    </row>
    <row r="10">
      <c r="A10" s="2" t="s">
        <v>95</v>
      </c>
      <c r="B10" s="6"/>
      <c r="C10" s="6"/>
      <c r="D10" s="6" t="s">
        <v>7</v>
      </c>
      <c r="E10" s="6" t="s">
        <v>97</v>
      </c>
      <c r="F10" s="6" t="s">
        <v>99</v>
      </c>
      <c r="G10" s="2"/>
      <c r="H10" s="6" t="s">
        <v>101</v>
      </c>
      <c r="I10" s="9" t="s">
        <v>103</v>
      </c>
    </row>
    <row r="11">
      <c r="A11" s="2" t="s">
        <v>106</v>
      </c>
      <c r="B11" s="6"/>
      <c r="C11" s="6"/>
      <c r="D11" s="6" t="s">
        <v>7</v>
      </c>
      <c r="E11" s="6" t="s">
        <v>109</v>
      </c>
      <c r="F11" s="6" t="s">
        <v>111</v>
      </c>
      <c r="G11" s="2" t="s">
        <v>112</v>
      </c>
      <c r="H11" s="6" t="s">
        <v>114</v>
      </c>
      <c r="I11" s="9" t="s">
        <v>103</v>
      </c>
    </row>
    <row r="12">
      <c r="A12" s="14" t="s">
        <v>117</v>
      </c>
      <c r="B12" s="6"/>
      <c r="C12" s="6"/>
      <c r="D12" s="6" t="s">
        <v>7</v>
      </c>
      <c r="E12" s="6" t="s">
        <v>125</v>
      </c>
      <c r="F12" s="6" t="s">
        <v>127</v>
      </c>
      <c r="G12" s="2"/>
      <c r="H12" s="6" t="s">
        <v>130</v>
      </c>
    </row>
    <row r="13">
      <c r="A13" s="2" t="s">
        <v>133</v>
      </c>
      <c r="B13" s="6"/>
      <c r="C13" s="6"/>
      <c r="D13" s="6" t="s">
        <v>7</v>
      </c>
      <c r="E13" s="6" t="s">
        <v>138</v>
      </c>
      <c r="F13" s="6" t="s">
        <v>139</v>
      </c>
      <c r="G13" s="2"/>
      <c r="H13" s="6" t="s">
        <v>141</v>
      </c>
    </row>
    <row r="14" ht="15.75" customHeight="1">
      <c r="A14" s="2" t="s">
        <v>144</v>
      </c>
      <c r="B14" s="6"/>
      <c r="C14" s="6"/>
      <c r="D14" s="6" t="s">
        <v>7</v>
      </c>
      <c r="E14" s="6" t="s">
        <v>146</v>
      </c>
      <c r="F14" s="6" t="s">
        <v>147</v>
      </c>
      <c r="G14" s="2"/>
      <c r="H14" s="6" t="s">
        <v>150</v>
      </c>
    </row>
    <row r="15" ht="15.75" customHeight="1">
      <c r="A15" s="2" t="s">
        <v>154</v>
      </c>
      <c r="B15" s="6"/>
      <c r="C15" s="6"/>
      <c r="D15" s="6" t="s">
        <v>7</v>
      </c>
      <c r="E15" s="6" t="s">
        <v>156</v>
      </c>
      <c r="F15" s="6" t="s">
        <v>158</v>
      </c>
      <c r="G15" s="2"/>
      <c r="H15" s="6" t="s">
        <v>159</v>
      </c>
    </row>
    <row r="16" ht="15.75" customHeight="1">
      <c r="A16" s="2" t="s">
        <v>161</v>
      </c>
      <c r="B16" s="6"/>
      <c r="C16" s="6"/>
      <c r="D16" s="6" t="s">
        <v>7</v>
      </c>
      <c r="E16" s="6" t="s">
        <v>162</v>
      </c>
      <c r="F16" s="6" t="s">
        <v>163</v>
      </c>
      <c r="G16" s="2"/>
      <c r="H16" s="6"/>
      <c r="I16" s="9" t="s">
        <v>165</v>
      </c>
    </row>
    <row r="17" ht="15.75" customHeight="1">
      <c r="A17" s="16" t="s">
        <v>168</v>
      </c>
      <c r="B17" s="17"/>
      <c r="C17" s="17"/>
      <c r="D17" s="18" t="s">
        <v>7</v>
      </c>
      <c r="E17" s="18" t="s">
        <v>182</v>
      </c>
      <c r="F17" s="18"/>
      <c r="G17" s="16" t="s">
        <v>185</v>
      </c>
      <c r="H17" s="18"/>
      <c r="I17" s="9" t="s">
        <v>186</v>
      </c>
    </row>
    <row r="18" ht="15.75" customHeight="1">
      <c r="A18" s="2" t="s">
        <v>188</v>
      </c>
      <c r="B18" s="6"/>
      <c r="C18" s="6"/>
      <c r="D18" s="6" t="s">
        <v>7</v>
      </c>
      <c r="E18" s="6" t="s">
        <v>191</v>
      </c>
      <c r="F18" s="6" t="s">
        <v>194</v>
      </c>
      <c r="G18" s="2"/>
      <c r="H18" s="6"/>
      <c r="I18" s="9" t="s">
        <v>196</v>
      </c>
    </row>
    <row r="19" ht="15.75" customHeight="1">
      <c r="A19" s="16" t="s">
        <v>199</v>
      </c>
      <c r="B19" s="17"/>
      <c r="C19" s="17"/>
      <c r="D19" s="18" t="s">
        <v>7</v>
      </c>
      <c r="E19" s="18"/>
      <c r="F19" s="18"/>
      <c r="G19" s="16" t="s">
        <v>202</v>
      </c>
      <c r="H19" s="18"/>
      <c r="I19" s="9" t="s">
        <v>205</v>
      </c>
    </row>
    <row r="20" ht="15.75" customHeight="1">
      <c r="A20" s="2" t="s">
        <v>209</v>
      </c>
      <c r="B20" s="6"/>
      <c r="C20" s="6"/>
      <c r="D20" s="6" t="s">
        <v>7</v>
      </c>
      <c r="E20" s="6" t="s">
        <v>212</v>
      </c>
      <c r="F20" s="6" t="s">
        <v>215</v>
      </c>
      <c r="G20" s="2"/>
      <c r="H20" s="6" t="s">
        <v>217</v>
      </c>
    </row>
    <row r="21" ht="15.75" customHeight="1">
      <c r="A21" s="2" t="s">
        <v>222</v>
      </c>
      <c r="B21" s="6" t="s">
        <v>224</v>
      </c>
      <c r="C21" s="6" t="s">
        <v>51</v>
      </c>
      <c r="D21" s="6" t="s">
        <v>7</v>
      </c>
      <c r="E21" s="6" t="s">
        <v>227</v>
      </c>
      <c r="F21" s="6"/>
      <c r="G21" s="2"/>
      <c r="H21" s="6"/>
      <c r="I21" s="9" t="s">
        <v>228</v>
      </c>
    </row>
    <row r="22" ht="15.75" customHeight="1">
      <c r="A22" s="2" t="s">
        <v>231</v>
      </c>
      <c r="B22" s="6" t="s">
        <v>233</v>
      </c>
      <c r="C22" s="6" t="s">
        <v>234</v>
      </c>
      <c r="D22" s="6" t="s">
        <v>7</v>
      </c>
      <c r="E22" s="6" t="s">
        <v>235</v>
      </c>
      <c r="F22" s="6"/>
      <c r="G22" s="2"/>
      <c r="H22" s="6"/>
    </row>
    <row r="23" ht="15.75" customHeight="1">
      <c r="A23" s="20" t="s">
        <v>240</v>
      </c>
      <c r="B23" s="21" t="s">
        <v>233</v>
      </c>
      <c r="C23" s="21">
        <v>44130.0</v>
      </c>
      <c r="D23" s="21" t="s">
        <v>7</v>
      </c>
      <c r="E23" s="21" t="s">
        <v>248</v>
      </c>
      <c r="F23" s="21" t="s">
        <v>249</v>
      </c>
      <c r="G23" s="2"/>
      <c r="H23" s="6"/>
    </row>
    <row r="24" ht="15.75" customHeight="1">
      <c r="A24" s="20" t="s">
        <v>71</v>
      </c>
      <c r="B24" s="21" t="s">
        <v>78</v>
      </c>
      <c r="C24" s="21" t="s">
        <v>79</v>
      </c>
      <c r="D24" s="21" t="s">
        <v>7</v>
      </c>
      <c r="E24" s="21" t="s">
        <v>81</v>
      </c>
      <c r="F24" s="21" t="s">
        <v>256</v>
      </c>
      <c r="G24" s="2"/>
      <c r="H24" s="6"/>
    </row>
    <row r="25" ht="15.75" customHeight="1">
      <c r="A25" s="11" t="s">
        <v>261</v>
      </c>
      <c r="B25" s="6" t="s">
        <v>262</v>
      </c>
      <c r="C25" s="6" t="s">
        <v>263</v>
      </c>
      <c r="D25" s="6" t="s">
        <v>7</v>
      </c>
      <c r="E25" s="6" t="s">
        <v>265</v>
      </c>
      <c r="F25" s="6"/>
      <c r="G25" s="2"/>
      <c r="H25" s="6"/>
    </row>
    <row r="26" ht="15.75" customHeight="1">
      <c r="A26" s="2" t="s">
        <v>268</v>
      </c>
      <c r="B26" s="6" t="s">
        <v>269</v>
      </c>
      <c r="C26" s="6">
        <v>44110.0</v>
      </c>
      <c r="D26" s="6" t="s">
        <v>7</v>
      </c>
      <c r="E26" s="6" t="s">
        <v>273</v>
      </c>
      <c r="F26" s="6" t="s">
        <v>275</v>
      </c>
      <c r="G26" s="2" t="s">
        <v>277</v>
      </c>
      <c r="H26" s="6" t="s">
        <v>279</v>
      </c>
      <c r="I26" s="9"/>
    </row>
    <row r="27" ht="15.75" customHeight="1">
      <c r="A27" s="2" t="s">
        <v>280</v>
      </c>
      <c r="B27" s="6" t="s">
        <v>282</v>
      </c>
      <c r="C27" s="6" t="s">
        <v>283</v>
      </c>
      <c r="D27" s="6" t="s">
        <v>7</v>
      </c>
      <c r="E27" s="6" t="s">
        <v>284</v>
      </c>
      <c r="F27" s="6"/>
      <c r="G27" s="2" t="s">
        <v>287</v>
      </c>
      <c r="H27" s="6"/>
      <c r="I27" s="9" t="s">
        <v>288</v>
      </c>
    </row>
    <row r="28" ht="15.75" customHeight="1">
      <c r="A28" s="2" t="s">
        <v>291</v>
      </c>
      <c r="B28" s="6" t="s">
        <v>293</v>
      </c>
      <c r="C28" s="6" t="s">
        <v>216</v>
      </c>
      <c r="D28" s="6" t="s">
        <v>7</v>
      </c>
      <c r="E28" s="6" t="s">
        <v>294</v>
      </c>
      <c r="F28" s="6"/>
      <c r="G28" s="2"/>
      <c r="H28" s="6"/>
      <c r="I28" s="9" t="s">
        <v>297</v>
      </c>
    </row>
    <row r="29" ht="15.75" customHeight="1">
      <c r="A29" s="2" t="s">
        <v>300</v>
      </c>
      <c r="B29" s="6" t="s">
        <v>293</v>
      </c>
      <c r="C29" s="6" t="s">
        <v>216</v>
      </c>
      <c r="D29" s="6" t="s">
        <v>7</v>
      </c>
      <c r="E29" s="6"/>
      <c r="F29" s="6"/>
      <c r="G29" s="2" t="s">
        <v>303</v>
      </c>
      <c r="H29" s="6"/>
      <c r="I29" s="9" t="s">
        <v>305</v>
      </c>
    </row>
    <row r="30" ht="15.75" customHeight="1">
      <c r="A30" s="11" t="s">
        <v>306</v>
      </c>
      <c r="B30" s="6" t="s">
        <v>307</v>
      </c>
      <c r="C30" s="6"/>
      <c r="D30" s="6" t="s">
        <v>7</v>
      </c>
      <c r="E30" s="6" t="s">
        <v>310</v>
      </c>
      <c r="F30" s="6"/>
      <c r="G30" s="2" t="s">
        <v>312</v>
      </c>
      <c r="H30" s="6"/>
      <c r="I30" s="9"/>
    </row>
    <row r="31" ht="15.75" customHeight="1">
      <c r="A31" s="2" t="s">
        <v>317</v>
      </c>
      <c r="B31" s="6" t="s">
        <v>318</v>
      </c>
      <c r="C31" s="6" t="s">
        <v>321</v>
      </c>
      <c r="D31" s="6" t="s">
        <v>7</v>
      </c>
      <c r="E31" s="6" t="s">
        <v>324</v>
      </c>
      <c r="F31" s="6"/>
      <c r="G31" s="2"/>
      <c r="H31" s="6"/>
      <c r="I31" s="9" t="s">
        <v>327</v>
      </c>
    </row>
    <row r="32" ht="15.75" customHeight="1">
      <c r="A32" s="2" t="s">
        <v>329</v>
      </c>
      <c r="B32" s="6" t="s">
        <v>318</v>
      </c>
      <c r="C32" s="6" t="s">
        <v>321</v>
      </c>
      <c r="D32" s="6" t="s">
        <v>7</v>
      </c>
      <c r="E32" s="6" t="s">
        <v>331</v>
      </c>
      <c r="F32" s="6"/>
      <c r="G32" s="2" t="s">
        <v>334</v>
      </c>
      <c r="H32" s="6"/>
      <c r="I32" s="9" t="s">
        <v>70</v>
      </c>
    </row>
    <row r="33" ht="15.75" customHeight="1">
      <c r="A33" s="2" t="s">
        <v>339</v>
      </c>
      <c r="B33" s="6" t="s">
        <v>318</v>
      </c>
      <c r="C33" s="22">
        <v>44500.0</v>
      </c>
      <c r="D33" s="6" t="s">
        <v>7</v>
      </c>
      <c r="E33" s="6" t="s">
        <v>347</v>
      </c>
      <c r="F33" s="6" t="s">
        <v>349</v>
      </c>
      <c r="G33" s="2" t="s">
        <v>350</v>
      </c>
      <c r="H33" s="6"/>
      <c r="I33" s="9"/>
    </row>
    <row r="34" ht="15.75" customHeight="1">
      <c r="A34" s="2" t="s">
        <v>354</v>
      </c>
      <c r="B34" s="6" t="s">
        <v>356</v>
      </c>
      <c r="C34" s="6" t="s">
        <v>359</v>
      </c>
      <c r="D34" s="6" t="s">
        <v>7</v>
      </c>
      <c r="E34" s="6" t="s">
        <v>363</v>
      </c>
      <c r="F34" s="6" t="s">
        <v>365</v>
      </c>
      <c r="G34" s="2" t="s">
        <v>367</v>
      </c>
      <c r="H34" s="6" t="s">
        <v>368</v>
      </c>
      <c r="I34" s="9" t="s">
        <v>70</v>
      </c>
    </row>
    <row r="35" ht="15.75" customHeight="1">
      <c r="A35" s="2" t="s">
        <v>373</v>
      </c>
      <c r="B35" s="6" t="s">
        <v>375</v>
      </c>
      <c r="C35" s="6" t="s">
        <v>377</v>
      </c>
      <c r="D35" s="6" t="s">
        <v>7</v>
      </c>
      <c r="E35" s="6" t="s">
        <v>380</v>
      </c>
      <c r="F35" s="6" t="s">
        <v>381</v>
      </c>
      <c r="G35" s="2"/>
      <c r="H35" s="6"/>
      <c r="I35" s="9" t="s">
        <v>383</v>
      </c>
    </row>
    <row r="36" ht="15.75" customHeight="1">
      <c r="A36" s="2" t="s">
        <v>385</v>
      </c>
      <c r="B36" s="6" t="s">
        <v>386</v>
      </c>
      <c r="C36" s="6" t="s">
        <v>388</v>
      </c>
      <c r="D36" s="6" t="s">
        <v>7</v>
      </c>
      <c r="E36" s="6" t="s">
        <v>391</v>
      </c>
      <c r="F36" s="6" t="s">
        <v>393</v>
      </c>
      <c r="G36" s="2" t="s">
        <v>395</v>
      </c>
      <c r="H36" s="6"/>
      <c r="I36" s="9" t="s">
        <v>396</v>
      </c>
    </row>
    <row r="37" ht="15.75" customHeight="1">
      <c r="A37" s="2" t="s">
        <v>397</v>
      </c>
      <c r="B37" s="6" t="s">
        <v>399</v>
      </c>
      <c r="C37" s="6" t="s">
        <v>401</v>
      </c>
      <c r="D37" s="6" t="s">
        <v>7</v>
      </c>
      <c r="E37" s="6" t="s">
        <v>402</v>
      </c>
      <c r="F37" s="6" t="s">
        <v>404</v>
      </c>
      <c r="G37" s="2" t="s">
        <v>406</v>
      </c>
      <c r="H37" s="6" t="s">
        <v>407</v>
      </c>
    </row>
    <row r="38" ht="15.75" customHeight="1">
      <c r="A38" s="2" t="s">
        <v>409</v>
      </c>
      <c r="B38" s="6" t="s">
        <v>411</v>
      </c>
      <c r="C38" s="6" t="s">
        <v>412</v>
      </c>
      <c r="D38" s="6" t="s">
        <v>7</v>
      </c>
      <c r="E38" s="6" t="s">
        <v>414</v>
      </c>
      <c r="F38" s="6" t="s">
        <v>416</v>
      </c>
      <c r="G38" s="2"/>
      <c r="H38" s="6" t="s">
        <v>420</v>
      </c>
    </row>
    <row r="39" ht="15.75" customHeight="1">
      <c r="A39" s="2" t="s">
        <v>423</v>
      </c>
      <c r="B39" s="6" t="s">
        <v>424</v>
      </c>
      <c r="C39" s="6" t="s">
        <v>425</v>
      </c>
      <c r="D39" s="6" t="s">
        <v>7</v>
      </c>
      <c r="E39" s="6" t="s">
        <v>428</v>
      </c>
      <c r="F39" s="6" t="s">
        <v>431</v>
      </c>
      <c r="G39" s="2"/>
      <c r="H39" s="6"/>
      <c r="I39" s="9" t="s">
        <v>435</v>
      </c>
    </row>
    <row r="40" ht="15.75" customHeight="1">
      <c r="A40" s="2" t="s">
        <v>439</v>
      </c>
      <c r="B40" s="6" t="s">
        <v>313</v>
      </c>
      <c r="C40" s="6" t="s">
        <v>315</v>
      </c>
      <c r="D40" s="6" t="s">
        <v>7</v>
      </c>
      <c r="E40" s="6" t="s">
        <v>442</v>
      </c>
      <c r="F40" s="6" t="s">
        <v>443</v>
      </c>
      <c r="G40" s="2"/>
      <c r="H40" s="6"/>
    </row>
    <row r="41" ht="15.75" customHeight="1">
      <c r="A41" s="2" t="s">
        <v>445</v>
      </c>
      <c r="B41" s="6" t="s">
        <v>313</v>
      </c>
      <c r="C41" s="6" t="s">
        <v>315</v>
      </c>
      <c r="D41" s="6" t="s">
        <v>7</v>
      </c>
      <c r="E41" s="6" t="s">
        <v>451</v>
      </c>
      <c r="F41" s="6"/>
      <c r="G41" s="2"/>
      <c r="H41" s="6"/>
    </row>
    <row r="42" ht="15.75" customHeight="1">
      <c r="A42" s="2" t="s">
        <v>454</v>
      </c>
      <c r="B42" s="6" t="s">
        <v>313</v>
      </c>
      <c r="C42" s="6" t="s">
        <v>315</v>
      </c>
      <c r="D42" s="6" t="s">
        <v>7</v>
      </c>
      <c r="E42" s="6" t="s">
        <v>457</v>
      </c>
      <c r="F42" s="6"/>
      <c r="G42" s="2" t="s">
        <v>459</v>
      </c>
      <c r="H42" s="6"/>
      <c r="I42" s="9" t="s">
        <v>462</v>
      </c>
    </row>
    <row r="43" ht="15.75" customHeight="1">
      <c r="A43" s="2" t="s">
        <v>466</v>
      </c>
      <c r="B43" s="6" t="s">
        <v>313</v>
      </c>
      <c r="C43" s="6" t="s">
        <v>330</v>
      </c>
      <c r="D43" s="6" t="s">
        <v>7</v>
      </c>
      <c r="E43" s="6" t="s">
        <v>468</v>
      </c>
      <c r="F43" s="6"/>
      <c r="G43" s="2"/>
      <c r="H43" s="6"/>
    </row>
    <row r="44" ht="15.75" customHeight="1">
      <c r="A44" s="2" t="s">
        <v>471</v>
      </c>
      <c r="B44" s="6" t="s">
        <v>313</v>
      </c>
      <c r="C44" s="6" t="s">
        <v>315</v>
      </c>
      <c r="D44" s="6" t="s">
        <v>7</v>
      </c>
      <c r="E44" s="23" t="s">
        <v>476</v>
      </c>
      <c r="F44" s="6"/>
      <c r="G44" s="2" t="s">
        <v>483</v>
      </c>
      <c r="H44" s="6"/>
      <c r="I44" s="9" t="s">
        <v>484</v>
      </c>
    </row>
    <row r="45" ht="15.75" customHeight="1">
      <c r="A45" s="2" t="s">
        <v>490</v>
      </c>
      <c r="B45" s="6" t="s">
        <v>313</v>
      </c>
      <c r="C45" s="6" t="s">
        <v>315</v>
      </c>
      <c r="D45" s="6" t="s">
        <v>7</v>
      </c>
      <c r="E45" s="6" t="s">
        <v>494</v>
      </c>
      <c r="F45" s="6"/>
      <c r="G45" s="2"/>
      <c r="H45" s="6"/>
      <c r="I45" s="9" t="s">
        <v>496</v>
      </c>
    </row>
    <row r="46" ht="15.75" customHeight="1">
      <c r="A46" s="2" t="s">
        <v>498</v>
      </c>
      <c r="B46" s="6" t="s">
        <v>313</v>
      </c>
      <c r="C46" s="6" t="s">
        <v>500</v>
      </c>
      <c r="D46" s="6" t="s">
        <v>7</v>
      </c>
      <c r="E46" s="6" t="s">
        <v>503</v>
      </c>
      <c r="F46" s="6"/>
      <c r="G46" s="2" t="s">
        <v>505</v>
      </c>
      <c r="H46" s="6"/>
      <c r="I46" s="9" t="s">
        <v>506</v>
      </c>
    </row>
    <row r="47" ht="15.75" customHeight="1">
      <c r="A47" s="2" t="s">
        <v>508</v>
      </c>
      <c r="B47" s="6" t="s">
        <v>313</v>
      </c>
      <c r="C47" s="6" t="s">
        <v>510</v>
      </c>
      <c r="D47" s="6" t="s">
        <v>7</v>
      </c>
      <c r="E47" s="6" t="s">
        <v>512</v>
      </c>
      <c r="F47" s="6"/>
      <c r="G47" s="2" t="s">
        <v>514</v>
      </c>
      <c r="H47" s="6"/>
    </row>
    <row r="48" ht="15.75" customHeight="1">
      <c r="A48" s="2" t="s">
        <v>515</v>
      </c>
      <c r="B48" s="6" t="s">
        <v>313</v>
      </c>
      <c r="C48" s="6" t="s">
        <v>315</v>
      </c>
      <c r="D48" s="6" t="s">
        <v>7</v>
      </c>
      <c r="E48" s="6" t="s">
        <v>517</v>
      </c>
      <c r="F48" s="6" t="s">
        <v>519</v>
      </c>
      <c r="G48" s="2"/>
      <c r="H48" s="6"/>
    </row>
    <row r="49" ht="15.75" customHeight="1">
      <c r="A49" s="2" t="s">
        <v>524</v>
      </c>
      <c r="B49" s="6" t="s">
        <v>313</v>
      </c>
      <c r="C49" s="6">
        <v>44000.0</v>
      </c>
      <c r="D49" s="6" t="s">
        <v>7</v>
      </c>
      <c r="E49" s="6" t="s">
        <v>528</v>
      </c>
      <c r="F49" s="6" t="s">
        <v>529</v>
      </c>
      <c r="G49" s="2" t="s">
        <v>530</v>
      </c>
      <c r="H49" s="6" t="s">
        <v>532</v>
      </c>
    </row>
    <row r="50" ht="15.75" customHeight="1">
      <c r="A50" s="2" t="s">
        <v>144</v>
      </c>
      <c r="B50" s="6" t="s">
        <v>313</v>
      </c>
      <c r="C50" s="6">
        <v>44000.0</v>
      </c>
      <c r="D50" s="6" t="s">
        <v>7</v>
      </c>
      <c r="E50" s="6" t="s">
        <v>146</v>
      </c>
      <c r="F50" s="6"/>
      <c r="G50" s="2"/>
      <c r="H50" s="6"/>
    </row>
    <row r="51" ht="15.75" customHeight="1">
      <c r="A51" s="2" t="s">
        <v>540</v>
      </c>
      <c r="B51" s="6" t="s">
        <v>313</v>
      </c>
      <c r="C51" s="6">
        <v>44000.0</v>
      </c>
      <c r="D51" s="6" t="s">
        <v>7</v>
      </c>
      <c r="E51" s="6" t="s">
        <v>545</v>
      </c>
      <c r="F51" s="6" t="s">
        <v>546</v>
      </c>
      <c r="G51" s="2" t="s">
        <v>548</v>
      </c>
      <c r="H51" s="6"/>
    </row>
    <row r="52" ht="15.75" customHeight="1">
      <c r="A52" s="2" t="s">
        <v>551</v>
      </c>
      <c r="B52" s="6" t="s">
        <v>313</v>
      </c>
      <c r="C52" s="6">
        <v>44000.0</v>
      </c>
      <c r="D52" s="6" t="s">
        <v>7</v>
      </c>
      <c r="E52" s="6" t="s">
        <v>553</v>
      </c>
      <c r="F52" s="6" t="s">
        <v>554</v>
      </c>
      <c r="G52" s="2"/>
      <c r="H52" s="6" t="s">
        <v>556</v>
      </c>
    </row>
    <row r="53" ht="15.75" customHeight="1">
      <c r="A53" s="11" t="s">
        <v>558</v>
      </c>
      <c r="B53" s="6" t="s">
        <v>313</v>
      </c>
      <c r="C53" s="6">
        <v>44000.0</v>
      </c>
      <c r="D53" s="6" t="s">
        <v>7</v>
      </c>
      <c r="E53" s="6" t="s">
        <v>561</v>
      </c>
      <c r="F53" s="6" t="s">
        <v>562</v>
      </c>
      <c r="G53" s="2" t="s">
        <v>564</v>
      </c>
      <c r="H53" s="6" t="s">
        <v>565</v>
      </c>
    </row>
    <row r="54" ht="15.75" customHeight="1">
      <c r="A54" s="2" t="s">
        <v>515</v>
      </c>
      <c r="B54" s="6" t="s">
        <v>313</v>
      </c>
      <c r="C54" s="6">
        <v>44000.0</v>
      </c>
      <c r="D54" s="6" t="s">
        <v>7</v>
      </c>
      <c r="E54" s="6" t="s">
        <v>517</v>
      </c>
      <c r="F54" s="6" t="s">
        <v>519</v>
      </c>
      <c r="G54" s="2" t="s">
        <v>573</v>
      </c>
      <c r="H54" s="6" t="s">
        <v>574</v>
      </c>
    </row>
    <row r="55" ht="15.75" customHeight="1">
      <c r="A55" s="11" t="s">
        <v>577</v>
      </c>
      <c r="B55" s="6" t="s">
        <v>313</v>
      </c>
      <c r="C55" s="6">
        <v>44000.0</v>
      </c>
      <c r="D55" s="6" t="s">
        <v>7</v>
      </c>
      <c r="E55" s="6" t="s">
        <v>579</v>
      </c>
      <c r="F55" s="6" t="s">
        <v>581</v>
      </c>
      <c r="G55" s="2" t="s">
        <v>583</v>
      </c>
      <c r="H55" s="6"/>
    </row>
    <row r="56" ht="15.75" customHeight="1">
      <c r="A56" s="2" t="s">
        <v>586</v>
      </c>
      <c r="B56" s="6" t="s">
        <v>313</v>
      </c>
      <c r="C56" s="6">
        <v>44000.0</v>
      </c>
      <c r="D56" s="6" t="s">
        <v>7</v>
      </c>
      <c r="E56" s="6" t="s">
        <v>592</v>
      </c>
      <c r="F56" s="6"/>
      <c r="G56" s="2" t="s">
        <v>594</v>
      </c>
      <c r="H56" s="6"/>
      <c r="I56" s="9" t="s">
        <v>597</v>
      </c>
    </row>
    <row r="57" ht="15.75" customHeight="1">
      <c r="A57" s="2" t="s">
        <v>603</v>
      </c>
      <c r="B57" s="6" t="s">
        <v>313</v>
      </c>
      <c r="C57" s="6">
        <v>44000.0</v>
      </c>
      <c r="D57" s="6" t="s">
        <v>7</v>
      </c>
      <c r="E57" s="6" t="s">
        <v>605</v>
      </c>
      <c r="F57" s="6" t="s">
        <v>607</v>
      </c>
      <c r="G57" s="2" t="s">
        <v>608</v>
      </c>
      <c r="H57" s="6" t="s">
        <v>609</v>
      </c>
    </row>
    <row r="58" ht="15.75" customHeight="1">
      <c r="A58" s="2" t="s">
        <v>610</v>
      </c>
      <c r="B58" s="6" t="s">
        <v>313</v>
      </c>
      <c r="C58" s="6">
        <v>44000.0</v>
      </c>
      <c r="D58" s="6" t="s">
        <v>7</v>
      </c>
      <c r="E58" s="6" t="s">
        <v>611</v>
      </c>
      <c r="F58" s="6" t="s">
        <v>613</v>
      </c>
      <c r="G58" s="2" t="s">
        <v>615</v>
      </c>
      <c r="H58" s="6" t="s">
        <v>611</v>
      </c>
    </row>
    <row r="59" ht="15.75" customHeight="1">
      <c r="A59" s="24" t="s">
        <v>619</v>
      </c>
      <c r="B59" s="21" t="s">
        <v>313</v>
      </c>
      <c r="C59" s="21">
        <v>44300.0</v>
      </c>
      <c r="D59" s="21" t="s">
        <v>7</v>
      </c>
      <c r="E59" s="10" t="s">
        <v>626</v>
      </c>
      <c r="F59" s="21" t="s">
        <v>627</v>
      </c>
      <c r="G59" s="20" t="s">
        <v>629</v>
      </c>
      <c r="H59" s="6"/>
    </row>
    <row r="60" ht="15.75" customHeight="1">
      <c r="A60" s="2" t="s">
        <v>634</v>
      </c>
      <c r="B60" s="6" t="s">
        <v>257</v>
      </c>
      <c r="C60" s="6" t="s">
        <v>639</v>
      </c>
      <c r="D60" s="6" t="s">
        <v>7</v>
      </c>
      <c r="E60" s="6" t="s">
        <v>642</v>
      </c>
      <c r="F60" s="6" t="s">
        <v>643</v>
      </c>
      <c r="G60" s="2"/>
      <c r="H60" s="6" t="s">
        <v>644</v>
      </c>
      <c r="I60" s="9" t="s">
        <v>647</v>
      </c>
    </row>
    <row r="61" ht="15.75" customHeight="1">
      <c r="A61" s="2" t="s">
        <v>654</v>
      </c>
      <c r="B61" s="6" t="s">
        <v>257</v>
      </c>
      <c r="C61" s="6">
        <v>44390.0</v>
      </c>
      <c r="D61" s="6" t="s">
        <v>7</v>
      </c>
      <c r="E61" s="6" t="s">
        <v>659</v>
      </c>
      <c r="F61" s="6" t="s">
        <v>661</v>
      </c>
      <c r="G61" s="2" t="s">
        <v>662</v>
      </c>
      <c r="H61" s="6" t="s">
        <v>664</v>
      </c>
      <c r="I61" s="9"/>
    </row>
    <row r="62" ht="15.75" customHeight="1">
      <c r="A62" s="2" t="s">
        <v>668</v>
      </c>
      <c r="B62" s="6" t="s">
        <v>669</v>
      </c>
      <c r="C62" s="6" t="s">
        <v>684</v>
      </c>
      <c r="D62" s="6" t="s">
        <v>7</v>
      </c>
      <c r="E62" s="6" t="s">
        <v>685</v>
      </c>
      <c r="F62" s="6" t="s">
        <v>688</v>
      </c>
      <c r="G62" s="2"/>
      <c r="H62" s="6" t="s">
        <v>689</v>
      </c>
      <c r="I62" s="9" t="s">
        <v>691</v>
      </c>
    </row>
    <row r="63" ht="15.75" customHeight="1">
      <c r="A63" s="2" t="s">
        <v>695</v>
      </c>
      <c r="B63" s="6" t="s">
        <v>369</v>
      </c>
      <c r="C63" s="6" t="s">
        <v>370</v>
      </c>
      <c r="D63" s="6" t="s">
        <v>7</v>
      </c>
      <c r="E63" s="6" t="s">
        <v>697</v>
      </c>
      <c r="F63" s="6"/>
      <c r="G63" s="2"/>
      <c r="H63" s="6"/>
      <c r="I63" s="9" t="s">
        <v>103</v>
      </c>
    </row>
    <row r="64" ht="15.75" customHeight="1">
      <c r="A64" s="2" t="s">
        <v>701</v>
      </c>
      <c r="B64" s="6" t="s">
        <v>702</v>
      </c>
      <c r="C64" s="6" t="s">
        <v>703</v>
      </c>
      <c r="D64" s="6" t="s">
        <v>7</v>
      </c>
      <c r="E64" s="6" t="s">
        <v>705</v>
      </c>
      <c r="F64" s="6"/>
      <c r="G64" s="2" t="s">
        <v>706</v>
      </c>
      <c r="H64" s="6"/>
      <c r="I64" s="9" t="s">
        <v>103</v>
      </c>
    </row>
    <row r="65" ht="15.0" customHeight="1">
      <c r="A65" s="20" t="s">
        <v>707</v>
      </c>
      <c r="B65" s="21" t="s">
        <v>351</v>
      </c>
      <c r="C65" s="21" t="s">
        <v>352</v>
      </c>
      <c r="D65" s="21" t="s">
        <v>7</v>
      </c>
      <c r="E65" s="21" t="s">
        <v>353</v>
      </c>
      <c r="F65" s="21" t="s">
        <v>355</v>
      </c>
      <c r="G65" s="20" t="s">
        <v>608</v>
      </c>
      <c r="H65" s="9" t="s">
        <v>713</v>
      </c>
      <c r="I65" s="9"/>
    </row>
    <row r="66" ht="15.0" customHeight="1">
      <c r="A66" s="2" t="s">
        <v>716</v>
      </c>
      <c r="B66" s="6" t="s">
        <v>387</v>
      </c>
      <c r="C66" s="6" t="s">
        <v>390</v>
      </c>
      <c r="D66" s="6" t="s">
        <v>7</v>
      </c>
      <c r="E66" s="6" t="s">
        <v>719</v>
      </c>
      <c r="F66" s="6" t="s">
        <v>721</v>
      </c>
      <c r="G66" s="2" t="s">
        <v>722</v>
      </c>
      <c r="H66" s="6" t="s">
        <v>723</v>
      </c>
      <c r="I66" s="9" t="s">
        <v>724</v>
      </c>
    </row>
    <row r="67" ht="15.75" customHeight="1">
      <c r="A67" s="2" t="s">
        <v>727</v>
      </c>
      <c r="B67" s="6" t="s">
        <v>387</v>
      </c>
      <c r="C67" s="22">
        <v>44210.0</v>
      </c>
      <c r="D67" s="6" t="s">
        <v>7</v>
      </c>
      <c r="E67" s="6" t="s">
        <v>729</v>
      </c>
      <c r="F67" s="6" t="s">
        <v>730</v>
      </c>
      <c r="G67" s="2" t="s">
        <v>731</v>
      </c>
      <c r="H67" s="6"/>
    </row>
    <row r="68" ht="15.75" customHeight="1">
      <c r="A68" s="2" t="s">
        <v>733</v>
      </c>
      <c r="B68" s="6" t="s">
        <v>734</v>
      </c>
      <c r="C68" s="6" t="s">
        <v>735</v>
      </c>
      <c r="D68" s="6" t="s">
        <v>7</v>
      </c>
      <c r="E68" s="6" t="s">
        <v>737</v>
      </c>
      <c r="F68" s="6"/>
      <c r="G68" s="2"/>
      <c r="H68" s="6"/>
    </row>
    <row r="69" ht="15.75" customHeight="1">
      <c r="A69" s="2" t="s">
        <v>740</v>
      </c>
      <c r="B69" s="6" t="s">
        <v>734</v>
      </c>
      <c r="C69" s="22">
        <v>44400.0</v>
      </c>
      <c r="D69" s="6" t="s">
        <v>7</v>
      </c>
      <c r="E69" s="6" t="s">
        <v>743</v>
      </c>
      <c r="F69" s="6" t="s">
        <v>746</v>
      </c>
      <c r="G69" s="2" t="s">
        <v>747</v>
      </c>
      <c r="H69" s="6" t="s">
        <v>749</v>
      </c>
    </row>
    <row r="70" ht="15.75" customHeight="1">
      <c r="A70" s="2" t="s">
        <v>740</v>
      </c>
      <c r="B70" s="6" t="s">
        <v>734</v>
      </c>
      <c r="C70" s="22">
        <v>44400.0</v>
      </c>
      <c r="D70" s="6" t="s">
        <v>7</v>
      </c>
      <c r="E70" s="6" t="s">
        <v>754</v>
      </c>
      <c r="F70" s="6" t="s">
        <v>746</v>
      </c>
      <c r="G70" s="2" t="s">
        <v>608</v>
      </c>
      <c r="H70" s="6"/>
    </row>
    <row r="71" ht="15.75" customHeight="1">
      <c r="A71" s="2" t="s">
        <v>762</v>
      </c>
      <c r="B71" s="6" t="s">
        <v>734</v>
      </c>
      <c r="C71" s="6">
        <v>44400.0</v>
      </c>
      <c r="D71" s="6" t="s">
        <v>7</v>
      </c>
      <c r="E71" s="6" t="s">
        <v>765</v>
      </c>
      <c r="F71" s="6" t="s">
        <v>767</v>
      </c>
      <c r="G71" s="2" t="s">
        <v>769</v>
      </c>
      <c r="H71" s="6" t="s">
        <v>772</v>
      </c>
    </row>
    <row r="72" ht="15.75" customHeight="1">
      <c r="A72" s="2" t="s">
        <v>777</v>
      </c>
      <c r="B72" s="6" t="s">
        <v>734</v>
      </c>
      <c r="C72" s="6">
        <v>44400.0</v>
      </c>
      <c r="D72" s="6" t="s">
        <v>7</v>
      </c>
      <c r="E72" s="6" t="s">
        <v>780</v>
      </c>
      <c r="F72" s="6" t="s">
        <v>782</v>
      </c>
      <c r="G72" s="2" t="s">
        <v>783</v>
      </c>
      <c r="H72" s="6" t="s">
        <v>784</v>
      </c>
    </row>
    <row r="73" ht="15.75" customHeight="1">
      <c r="A73" s="2" t="s">
        <v>788</v>
      </c>
      <c r="B73" s="6" t="s">
        <v>790</v>
      </c>
      <c r="C73" s="6" t="s">
        <v>286</v>
      </c>
      <c r="D73" s="6" t="s">
        <v>7</v>
      </c>
      <c r="E73" s="6" t="s">
        <v>793</v>
      </c>
      <c r="F73" s="6"/>
      <c r="G73" s="2"/>
      <c r="H73" s="6"/>
    </row>
    <row r="74" ht="15.75" customHeight="1">
      <c r="A74" s="2" t="s">
        <v>797</v>
      </c>
      <c r="B74" s="6" t="s">
        <v>798</v>
      </c>
      <c r="C74" s="6" t="s">
        <v>432</v>
      </c>
      <c r="D74" s="6" t="s">
        <v>7</v>
      </c>
      <c r="E74" s="6" t="s">
        <v>801</v>
      </c>
      <c r="F74" s="6"/>
      <c r="G74" s="2"/>
      <c r="H74" s="6"/>
      <c r="I74" s="9" t="s">
        <v>804</v>
      </c>
    </row>
    <row r="75" ht="15.75" customHeight="1">
      <c r="A75" s="2" t="s">
        <v>806</v>
      </c>
      <c r="B75" s="6" t="s">
        <v>798</v>
      </c>
      <c r="C75" s="6" t="s">
        <v>432</v>
      </c>
      <c r="D75" s="6" t="s">
        <v>7</v>
      </c>
      <c r="E75" s="6" t="s">
        <v>808</v>
      </c>
      <c r="F75" s="6" t="s">
        <v>809</v>
      </c>
      <c r="G75" s="2"/>
      <c r="H75" s="6"/>
    </row>
    <row r="76" ht="15.75" customHeight="1">
      <c r="A76" s="2" t="s">
        <v>812</v>
      </c>
      <c r="B76" s="6" t="s">
        <v>813</v>
      </c>
      <c r="C76" s="6" t="s">
        <v>814</v>
      </c>
      <c r="D76" s="6" t="s">
        <v>7</v>
      </c>
      <c r="E76" s="6" t="s">
        <v>817</v>
      </c>
      <c r="F76" s="6"/>
      <c r="G76" s="2"/>
      <c r="H76" s="6"/>
    </row>
    <row r="77" ht="15.75" customHeight="1">
      <c r="A77" s="11" t="s">
        <v>558</v>
      </c>
      <c r="B77" s="6" t="s">
        <v>813</v>
      </c>
      <c r="C77" s="6">
        <v>44800.0</v>
      </c>
      <c r="D77" s="6" t="s">
        <v>7</v>
      </c>
      <c r="E77" s="6" t="s">
        <v>823</v>
      </c>
      <c r="F77" s="6" t="s">
        <v>824</v>
      </c>
      <c r="G77" s="2" t="s">
        <v>826</v>
      </c>
      <c r="H77" s="6" t="s">
        <v>827</v>
      </c>
    </row>
    <row r="78" ht="15.75" customHeight="1">
      <c r="A78" s="2" t="s">
        <v>832</v>
      </c>
      <c r="B78" s="6" t="s">
        <v>834</v>
      </c>
      <c r="C78" s="6">
        <v>44860.0</v>
      </c>
      <c r="D78" s="6" t="s">
        <v>7</v>
      </c>
      <c r="E78" s="6" t="s">
        <v>838</v>
      </c>
      <c r="F78" s="6" t="s">
        <v>840</v>
      </c>
      <c r="G78" s="2" t="s">
        <v>842</v>
      </c>
      <c r="H78" s="6"/>
    </row>
    <row r="79" ht="15.75" customHeight="1">
      <c r="A79" s="2" t="s">
        <v>848</v>
      </c>
      <c r="B79" s="6" t="s">
        <v>849</v>
      </c>
      <c r="C79" s="6">
        <v>44310.0</v>
      </c>
      <c r="D79" s="6" t="s">
        <v>7</v>
      </c>
      <c r="E79" s="6" t="s">
        <v>555</v>
      </c>
      <c r="F79" s="6" t="s">
        <v>557</v>
      </c>
      <c r="G79" s="2" t="s">
        <v>852</v>
      </c>
      <c r="H79" s="6" t="s">
        <v>555</v>
      </c>
    </row>
    <row r="80" ht="15.75" customHeight="1">
      <c r="A80" s="11" t="s">
        <v>857</v>
      </c>
      <c r="B80" s="6" t="s">
        <v>859</v>
      </c>
      <c r="C80" s="6" t="s">
        <v>862</v>
      </c>
      <c r="D80" s="6" t="s">
        <v>7</v>
      </c>
      <c r="E80" s="6" t="s">
        <v>865</v>
      </c>
      <c r="F80" s="6"/>
      <c r="G80" s="2"/>
      <c r="H80" s="6"/>
    </row>
    <row r="81" ht="15.75" customHeight="1">
      <c r="A81" s="2" t="s">
        <v>868</v>
      </c>
      <c r="B81" s="6" t="s">
        <v>871</v>
      </c>
      <c r="C81" s="6" t="s">
        <v>171</v>
      </c>
      <c r="D81" s="6" t="s">
        <v>7</v>
      </c>
      <c r="E81" s="6" t="s">
        <v>874</v>
      </c>
      <c r="F81" s="6"/>
      <c r="G81" s="2"/>
      <c r="H81" s="6"/>
      <c r="I81" s="9" t="s">
        <v>877</v>
      </c>
    </row>
    <row r="82" ht="15.75" customHeight="1">
      <c r="A82" s="2" t="s">
        <v>354</v>
      </c>
      <c r="B82" s="6" t="s">
        <v>880</v>
      </c>
      <c r="C82" s="6" t="s">
        <v>881</v>
      </c>
      <c r="D82" s="6" t="s">
        <v>7</v>
      </c>
      <c r="E82" s="23" t="s">
        <v>885</v>
      </c>
      <c r="F82" s="6"/>
      <c r="G82" s="2" t="s">
        <v>367</v>
      </c>
      <c r="H82" s="6"/>
      <c r="I82" s="9" t="s">
        <v>70</v>
      </c>
    </row>
    <row r="83" ht="15.75" customHeight="1">
      <c r="A83" s="2" t="s">
        <v>889</v>
      </c>
      <c r="B83" s="6" t="s">
        <v>891</v>
      </c>
      <c r="C83" s="6" t="s">
        <v>892</v>
      </c>
      <c r="D83" s="6" t="s">
        <v>7</v>
      </c>
      <c r="E83" s="6" t="s">
        <v>894</v>
      </c>
      <c r="F83" s="6"/>
      <c r="G83" s="2"/>
      <c r="H83" s="6"/>
    </row>
    <row r="84" ht="15.75" customHeight="1">
      <c r="A84" s="2" t="s">
        <v>898</v>
      </c>
      <c r="B84" s="6" t="s">
        <v>566</v>
      </c>
      <c r="C84" s="6" t="s">
        <v>425</v>
      </c>
      <c r="D84" s="6" t="s">
        <v>7</v>
      </c>
      <c r="E84" s="6" t="s">
        <v>901</v>
      </c>
      <c r="F84" s="6"/>
      <c r="G84" s="2"/>
      <c r="H84" s="6"/>
    </row>
    <row r="85" ht="15.75" customHeight="1">
      <c r="A85" s="27" t="s">
        <v>898</v>
      </c>
      <c r="B85" s="28" t="s">
        <v>566</v>
      </c>
      <c r="C85" s="28">
        <v>44330.0</v>
      </c>
      <c r="D85" s="6" t="s">
        <v>7</v>
      </c>
      <c r="E85" s="28" t="s">
        <v>910</v>
      </c>
      <c r="F85" s="17" t="s">
        <v>912</v>
      </c>
      <c r="G85" s="29" t="s">
        <v>916</v>
      </c>
      <c r="H85" s="17" t="s">
        <v>920</v>
      </c>
      <c r="I85" s="9"/>
    </row>
    <row r="86" ht="15.75" customHeight="1">
      <c r="A86" s="27" t="s">
        <v>924</v>
      </c>
      <c r="B86" s="28" t="s">
        <v>926</v>
      </c>
      <c r="C86" s="28">
        <v>44260.0</v>
      </c>
      <c r="D86" s="6" t="s">
        <v>7</v>
      </c>
      <c r="E86" s="28" t="s">
        <v>928</v>
      </c>
      <c r="F86" s="17"/>
      <c r="G86" s="29" t="s">
        <v>930</v>
      </c>
      <c r="H86" s="17"/>
      <c r="I86" s="9" t="s">
        <v>103</v>
      </c>
    </row>
    <row r="87" ht="15.75" customHeight="1">
      <c r="A87" s="2" t="s">
        <v>934</v>
      </c>
      <c r="B87" s="6" t="s">
        <v>193</v>
      </c>
      <c r="C87" s="6">
        <v>44600.0</v>
      </c>
      <c r="D87" s="6" t="s">
        <v>7</v>
      </c>
      <c r="E87" s="6" t="s">
        <v>939</v>
      </c>
      <c r="F87" s="6" t="s">
        <v>940</v>
      </c>
      <c r="G87" s="2"/>
      <c r="H87" s="6" t="s">
        <v>944</v>
      </c>
      <c r="I87" s="9"/>
    </row>
    <row r="88" ht="15.75" customHeight="1">
      <c r="A88" s="2" t="s">
        <v>934</v>
      </c>
      <c r="B88" s="6" t="s">
        <v>293</v>
      </c>
      <c r="C88" s="6">
        <v>44350.0</v>
      </c>
      <c r="D88" s="6" t="s">
        <v>7</v>
      </c>
      <c r="E88" s="6" t="s">
        <v>951</v>
      </c>
      <c r="F88" s="6" t="s">
        <v>952</v>
      </c>
      <c r="G88" s="2" t="s">
        <v>953</v>
      </c>
      <c r="H88" s="6"/>
      <c r="I88" s="9"/>
    </row>
    <row r="89" ht="15.75" customHeight="1">
      <c r="A89" s="2" t="s">
        <v>956</v>
      </c>
      <c r="B89" s="6" t="s">
        <v>957</v>
      </c>
      <c r="C89" s="6">
        <v>44340.0</v>
      </c>
      <c r="D89" s="6" t="s">
        <v>7</v>
      </c>
      <c r="E89" s="6" t="s">
        <v>961</v>
      </c>
      <c r="F89" s="6" t="s">
        <v>962</v>
      </c>
      <c r="G89" s="2" t="s">
        <v>963</v>
      </c>
      <c r="H89" s="6" t="s">
        <v>966</v>
      </c>
      <c r="I89" s="9"/>
    </row>
    <row r="90" ht="15.75" customHeight="1">
      <c r="A90" s="2" t="s">
        <v>970</v>
      </c>
      <c r="B90" s="6" t="s">
        <v>972</v>
      </c>
      <c r="C90" s="6">
        <v>44740.0</v>
      </c>
      <c r="D90" s="6" t="s">
        <v>7</v>
      </c>
      <c r="E90" s="6" t="s">
        <v>975</v>
      </c>
      <c r="F90" s="6" t="s">
        <v>979</v>
      </c>
      <c r="G90" s="2" t="s">
        <v>981</v>
      </c>
      <c r="H90" s="6"/>
      <c r="I90" s="9"/>
    </row>
    <row r="91" ht="15.75" customHeight="1">
      <c r="A91" s="2" t="s">
        <v>956</v>
      </c>
      <c r="B91" s="6" t="s">
        <v>984</v>
      </c>
      <c r="C91" s="6">
        <v>44115.0</v>
      </c>
      <c r="D91" s="6" t="s">
        <v>7</v>
      </c>
      <c r="E91" s="6" t="s">
        <v>987</v>
      </c>
      <c r="F91" s="6" t="s">
        <v>989</v>
      </c>
      <c r="G91" s="2" t="s">
        <v>991</v>
      </c>
      <c r="H91" s="6"/>
      <c r="I91" s="9"/>
    </row>
    <row r="92" ht="15.0" customHeight="1">
      <c r="A92" s="2" t="s">
        <v>603</v>
      </c>
      <c r="B92" s="6" t="s">
        <v>590</v>
      </c>
      <c r="C92" s="6">
        <v>44120.0</v>
      </c>
      <c r="D92" s="6" t="s">
        <v>7</v>
      </c>
      <c r="E92" s="6" t="s">
        <v>997</v>
      </c>
      <c r="F92" s="6" t="s">
        <v>998</v>
      </c>
      <c r="G92" s="2" t="s">
        <v>1000</v>
      </c>
      <c r="H92" s="6" t="s">
        <v>1002</v>
      </c>
      <c r="I92" s="9"/>
    </row>
    <row r="93" ht="15.0" customHeight="1">
      <c r="A93" s="2" t="s">
        <v>603</v>
      </c>
      <c r="B93" s="6" t="s">
        <v>590</v>
      </c>
      <c r="C93" s="6">
        <v>44120.0</v>
      </c>
      <c r="D93" s="6" t="s">
        <v>7</v>
      </c>
      <c r="E93" s="6" t="s">
        <v>1007</v>
      </c>
      <c r="F93" s="6" t="s">
        <v>1008</v>
      </c>
      <c r="G93" s="2" t="s">
        <v>1010</v>
      </c>
      <c r="H93" s="6" t="s">
        <v>1012</v>
      </c>
      <c r="I93" s="9"/>
    </row>
    <row r="94" ht="15.0" customHeight="1">
      <c r="A94" s="2" t="s">
        <v>603</v>
      </c>
      <c r="B94" s="6" t="s">
        <v>590</v>
      </c>
      <c r="C94" s="6">
        <v>44120.0</v>
      </c>
      <c r="D94" s="6" t="s">
        <v>7</v>
      </c>
      <c r="E94" s="6" t="s">
        <v>1016</v>
      </c>
      <c r="F94" s="6" t="s">
        <v>1018</v>
      </c>
      <c r="G94" s="2" t="s">
        <v>1010</v>
      </c>
      <c r="H94" s="6" t="s">
        <v>1020</v>
      </c>
      <c r="I94" s="9"/>
    </row>
    <row r="95" ht="15.0" customHeight="1">
      <c r="A95" s="2" t="s">
        <v>1023</v>
      </c>
      <c r="B95" s="6" t="s">
        <v>1024</v>
      </c>
      <c r="C95" s="6">
        <v>44115.0</v>
      </c>
      <c r="D95" s="6" t="s">
        <v>7</v>
      </c>
      <c r="E95" s="6" t="s">
        <v>1026</v>
      </c>
      <c r="F95" s="6" t="s">
        <v>1028</v>
      </c>
      <c r="G95" s="2" t="s">
        <v>1030</v>
      </c>
      <c r="H95" s="6" t="s">
        <v>1032</v>
      </c>
      <c r="I95" s="9"/>
    </row>
    <row r="96" ht="15.0" customHeight="1">
      <c r="A96" s="2" t="s">
        <v>1036</v>
      </c>
      <c r="B96" s="6" t="s">
        <v>1038</v>
      </c>
      <c r="C96" s="6">
        <v>44430.0</v>
      </c>
      <c r="D96" s="6" t="s">
        <v>7</v>
      </c>
      <c r="E96" s="6" t="s">
        <v>1041</v>
      </c>
      <c r="F96" s="6" t="s">
        <v>1043</v>
      </c>
      <c r="G96" s="2"/>
      <c r="H96" s="6"/>
      <c r="I96" s="9"/>
    </row>
    <row r="97" ht="15.0" customHeight="1">
      <c r="A97" s="2" t="s">
        <v>1049</v>
      </c>
      <c r="B97" s="6" t="s">
        <v>1051</v>
      </c>
      <c r="C97" s="6">
        <v>44119.0</v>
      </c>
      <c r="D97" s="6" t="s">
        <v>7</v>
      </c>
      <c r="E97" s="6" t="s">
        <v>1056</v>
      </c>
      <c r="F97" s="6" t="s">
        <v>1059</v>
      </c>
      <c r="G97" s="2" t="s">
        <v>202</v>
      </c>
      <c r="H97" s="6"/>
      <c r="I97" s="9"/>
    </row>
    <row r="98" ht="15.0" customHeight="1">
      <c r="A98" s="2" t="s">
        <v>1064</v>
      </c>
      <c r="B98" s="6" t="s">
        <v>1065</v>
      </c>
      <c r="C98" s="6">
        <v>44470.0</v>
      </c>
      <c r="D98" s="6" t="s">
        <v>7</v>
      </c>
      <c r="E98" s="6" t="s">
        <v>1069</v>
      </c>
      <c r="F98" s="6" t="s">
        <v>1071</v>
      </c>
      <c r="G98" s="2" t="s">
        <v>1073</v>
      </c>
      <c r="H98" s="6" t="s">
        <v>1075</v>
      </c>
      <c r="I98" s="9"/>
    </row>
    <row r="99" ht="15.0" customHeight="1">
      <c r="A99" s="2" t="s">
        <v>1079</v>
      </c>
      <c r="B99" s="6" t="s">
        <v>1082</v>
      </c>
      <c r="C99" s="6">
        <v>44490.0</v>
      </c>
      <c r="D99" s="6" t="s">
        <v>7</v>
      </c>
      <c r="E99" s="6" t="s">
        <v>1085</v>
      </c>
      <c r="F99" s="6" t="s">
        <v>1087</v>
      </c>
      <c r="G99" s="2" t="s">
        <v>1088</v>
      </c>
      <c r="H99" s="6" t="s">
        <v>1089</v>
      </c>
      <c r="I99" s="9"/>
    </row>
    <row r="100" ht="15.75" customHeight="1">
      <c r="A100" s="20"/>
      <c r="B100" s="21"/>
      <c r="C100" s="21"/>
      <c r="D100" s="21"/>
      <c r="E100" s="21"/>
      <c r="F100" s="21"/>
      <c r="G100" s="20"/>
      <c r="H100" s="21"/>
      <c r="I100" s="9"/>
    </row>
    <row r="101" ht="15.75" customHeight="1">
      <c r="A101" s="20"/>
      <c r="B101" s="21"/>
      <c r="C101" s="21"/>
      <c r="D101" s="21"/>
      <c r="E101" s="21"/>
      <c r="F101" s="21"/>
      <c r="G101" s="20"/>
      <c r="H101" s="21"/>
      <c r="I101" s="9"/>
    </row>
    <row r="102" ht="15.75" customHeight="1">
      <c r="A102" s="2" t="s">
        <v>1102</v>
      </c>
      <c r="B102" s="6"/>
      <c r="C102" s="6"/>
      <c r="D102" s="6" t="s">
        <v>33</v>
      </c>
      <c r="E102" s="6" t="s">
        <v>1105</v>
      </c>
      <c r="F102" s="6"/>
      <c r="G102" s="2"/>
      <c r="H102" s="6" t="s">
        <v>1106</v>
      </c>
      <c r="I102" s="9" t="s">
        <v>1108</v>
      </c>
    </row>
    <row r="103" ht="15.75" customHeight="1">
      <c r="A103" s="2" t="s">
        <v>1113</v>
      </c>
      <c r="B103" s="6" t="s">
        <v>616</v>
      </c>
      <c r="C103" s="6" t="s">
        <v>617</v>
      </c>
      <c r="D103" s="6" t="s">
        <v>33</v>
      </c>
      <c r="E103" s="6" t="s">
        <v>1115</v>
      </c>
      <c r="F103" s="6"/>
      <c r="G103" s="2"/>
      <c r="H103" s="6"/>
      <c r="I103" s="9" t="s">
        <v>1118</v>
      </c>
    </row>
    <row r="104" ht="15.75" customHeight="1">
      <c r="A104" s="2" t="s">
        <v>1120</v>
      </c>
      <c r="B104" s="6" t="s">
        <v>616</v>
      </c>
      <c r="C104" s="6" t="s">
        <v>617</v>
      </c>
      <c r="D104" s="6" t="s">
        <v>33</v>
      </c>
      <c r="E104" s="6" t="s">
        <v>1123</v>
      </c>
      <c r="F104" s="6"/>
      <c r="G104" s="2"/>
      <c r="H104" s="6"/>
      <c r="I104" s="9" t="s">
        <v>1125</v>
      </c>
    </row>
    <row r="105" ht="15.75" customHeight="1">
      <c r="A105" s="2" t="s">
        <v>1127</v>
      </c>
      <c r="B105" s="6" t="s">
        <v>616</v>
      </c>
      <c r="C105" s="6" t="s">
        <v>617</v>
      </c>
      <c r="D105" s="6" t="s">
        <v>33</v>
      </c>
      <c r="E105" s="6" t="s">
        <v>1128</v>
      </c>
      <c r="F105" s="6"/>
      <c r="G105" s="2" t="s">
        <v>1132</v>
      </c>
      <c r="H105" s="6"/>
      <c r="I105" s="9" t="s">
        <v>1134</v>
      </c>
    </row>
    <row r="106" ht="15.75" customHeight="1">
      <c r="A106" s="2" t="s">
        <v>1137</v>
      </c>
      <c r="B106" s="6" t="s">
        <v>616</v>
      </c>
      <c r="C106" s="22">
        <v>49100.0</v>
      </c>
      <c r="D106" s="6" t="s">
        <v>33</v>
      </c>
      <c r="E106" s="6" t="s">
        <v>1139</v>
      </c>
      <c r="F106" s="6" t="s">
        <v>1141</v>
      </c>
      <c r="G106" s="2" t="s">
        <v>1142</v>
      </c>
      <c r="H106" s="6"/>
    </row>
    <row r="107" ht="15.75" customHeight="1">
      <c r="A107" s="2" t="s">
        <v>1146</v>
      </c>
      <c r="B107" s="6" t="s">
        <v>616</v>
      </c>
      <c r="C107" s="22">
        <v>49100.0</v>
      </c>
      <c r="D107" s="6" t="s">
        <v>33</v>
      </c>
      <c r="E107" s="6" t="s">
        <v>1149</v>
      </c>
      <c r="F107" s="6" t="s">
        <v>1150</v>
      </c>
      <c r="G107" s="2" t="s">
        <v>1151</v>
      </c>
      <c r="H107" s="6"/>
    </row>
    <row r="108" ht="15.75" customHeight="1">
      <c r="A108" s="2" t="s">
        <v>1154</v>
      </c>
      <c r="B108" s="6" t="s">
        <v>616</v>
      </c>
      <c r="C108" s="6">
        <v>49100.0</v>
      </c>
      <c r="D108" s="6" t="s">
        <v>33</v>
      </c>
      <c r="E108" s="6" t="s">
        <v>1157</v>
      </c>
      <c r="F108" s="6" t="s">
        <v>1159</v>
      </c>
      <c r="G108" s="2" t="s">
        <v>1161</v>
      </c>
      <c r="H108" s="6" t="s">
        <v>1162</v>
      </c>
    </row>
    <row r="109" ht="15.75" customHeight="1">
      <c r="A109" s="2" t="s">
        <v>1164</v>
      </c>
      <c r="B109" s="6" t="s">
        <v>1166</v>
      </c>
      <c r="C109" s="6" t="s">
        <v>1167</v>
      </c>
      <c r="D109" s="6" t="s">
        <v>33</v>
      </c>
      <c r="E109" s="6" t="s">
        <v>1170</v>
      </c>
      <c r="F109" s="6" t="s">
        <v>1171</v>
      </c>
      <c r="G109" s="2"/>
      <c r="H109" s="6"/>
    </row>
    <row r="110" ht="15.75" customHeight="1">
      <c r="A110" s="2" t="s">
        <v>1172</v>
      </c>
      <c r="B110" s="6" t="s">
        <v>1174</v>
      </c>
      <c r="C110" s="6" t="s">
        <v>802</v>
      </c>
      <c r="D110" s="6" t="s">
        <v>33</v>
      </c>
      <c r="E110" s="6" t="s">
        <v>1178</v>
      </c>
      <c r="F110" s="6"/>
      <c r="G110" s="2"/>
      <c r="H110" s="6"/>
      <c r="I110" s="9" t="s">
        <v>70</v>
      </c>
    </row>
    <row r="111" ht="15.75" customHeight="1">
      <c r="A111" s="2" t="s">
        <v>1180</v>
      </c>
      <c r="B111" s="6" t="s">
        <v>1182</v>
      </c>
      <c r="C111" s="6" t="s">
        <v>1183</v>
      </c>
      <c r="D111" s="6" t="s">
        <v>33</v>
      </c>
      <c r="E111" s="6" t="s">
        <v>1185</v>
      </c>
      <c r="F111" s="6" t="s">
        <v>1187</v>
      </c>
      <c r="G111" s="2" t="s">
        <v>68</v>
      </c>
      <c r="H111" s="6"/>
      <c r="I111" s="9" t="s">
        <v>70</v>
      </c>
    </row>
    <row r="112" ht="15.75" customHeight="1">
      <c r="A112" s="2" t="s">
        <v>1190</v>
      </c>
      <c r="B112" s="6" t="s">
        <v>872</v>
      </c>
      <c r="C112" s="6" t="s">
        <v>873</v>
      </c>
      <c r="D112" s="6" t="s">
        <v>33</v>
      </c>
      <c r="E112" s="6" t="s">
        <v>1193</v>
      </c>
      <c r="F112" s="6" t="s">
        <v>1194</v>
      </c>
      <c r="G112" s="2" t="s">
        <v>1202</v>
      </c>
      <c r="H112" s="6" t="s">
        <v>1203</v>
      </c>
      <c r="I112" s="9" t="s">
        <v>1204</v>
      </c>
    </row>
    <row r="113" ht="15.75" customHeight="1">
      <c r="A113" s="2" t="s">
        <v>1207</v>
      </c>
      <c r="B113" s="6" t="s">
        <v>872</v>
      </c>
      <c r="C113" s="6" t="s">
        <v>873</v>
      </c>
      <c r="D113" s="6" t="s">
        <v>33</v>
      </c>
      <c r="E113" s="6" t="s">
        <v>1210</v>
      </c>
      <c r="F113" s="6" t="s">
        <v>1211</v>
      </c>
      <c r="G113" s="2"/>
      <c r="H113" s="6" t="s">
        <v>1214</v>
      </c>
    </row>
    <row r="114" ht="15.75" customHeight="1">
      <c r="A114" s="2" t="s">
        <v>1207</v>
      </c>
      <c r="B114" s="6" t="s">
        <v>872</v>
      </c>
      <c r="C114" s="6" t="s">
        <v>873</v>
      </c>
      <c r="D114" s="6" t="s">
        <v>33</v>
      </c>
      <c r="E114" s="6" t="s">
        <v>1220</v>
      </c>
      <c r="F114" s="6"/>
      <c r="G114" s="2" t="s">
        <v>1221</v>
      </c>
      <c r="H114" s="6"/>
      <c r="I114" s="9" t="s">
        <v>1223</v>
      </c>
    </row>
    <row r="115" ht="15.75" customHeight="1">
      <c r="A115" s="2" t="s">
        <v>603</v>
      </c>
      <c r="B115" s="6" t="s">
        <v>872</v>
      </c>
      <c r="C115" s="6">
        <v>49300.0</v>
      </c>
      <c r="D115" s="6" t="s">
        <v>33</v>
      </c>
      <c r="E115" s="6" t="s">
        <v>1229</v>
      </c>
      <c r="F115" s="6" t="s">
        <v>1230</v>
      </c>
      <c r="G115" s="2"/>
      <c r="H115" s="6"/>
      <c r="I115" s="9"/>
    </row>
    <row r="116" ht="15.75" customHeight="1">
      <c r="A116" s="2" t="s">
        <v>603</v>
      </c>
      <c r="B116" s="6" t="s">
        <v>787</v>
      </c>
      <c r="C116" s="6">
        <v>49073.0</v>
      </c>
      <c r="D116" s="6" t="s">
        <v>33</v>
      </c>
      <c r="E116" s="6" t="s">
        <v>1238</v>
      </c>
      <c r="F116" s="6" t="s">
        <v>1240</v>
      </c>
      <c r="G116" s="2" t="s">
        <v>1241</v>
      </c>
      <c r="H116" s="6"/>
      <c r="I116" s="9"/>
    </row>
    <row r="117" ht="15.75" customHeight="1">
      <c r="A117" s="2" t="s">
        <v>1244</v>
      </c>
      <c r="B117" s="6" t="s">
        <v>1245</v>
      </c>
      <c r="C117" s="6" t="s">
        <v>1246</v>
      </c>
      <c r="D117" s="6" t="s">
        <v>33</v>
      </c>
      <c r="E117" s="6" t="s">
        <v>1248</v>
      </c>
      <c r="F117" s="6" t="s">
        <v>1250</v>
      </c>
      <c r="G117" s="2"/>
      <c r="H117" s="6" t="s">
        <v>1252</v>
      </c>
      <c r="I117" s="9" t="s">
        <v>1253</v>
      </c>
    </row>
    <row r="118" ht="15.75" customHeight="1">
      <c r="A118" s="2" t="s">
        <v>1256</v>
      </c>
      <c r="B118" s="6" t="s">
        <v>1257</v>
      </c>
      <c r="C118" s="6" t="s">
        <v>1258</v>
      </c>
      <c r="D118" s="6" t="s">
        <v>33</v>
      </c>
      <c r="E118" s="6" t="s">
        <v>1259</v>
      </c>
      <c r="F118" s="6"/>
      <c r="G118" s="2"/>
      <c r="H118" s="6"/>
      <c r="I118" s="9" t="s">
        <v>1260</v>
      </c>
    </row>
    <row r="119" ht="15.75" customHeight="1">
      <c r="A119" s="2" t="s">
        <v>1261</v>
      </c>
      <c r="B119" s="6" t="s">
        <v>1262</v>
      </c>
      <c r="C119" s="6" t="s">
        <v>1263</v>
      </c>
      <c r="D119" s="6" t="s">
        <v>33</v>
      </c>
      <c r="E119" s="6" t="s">
        <v>1265</v>
      </c>
      <c r="F119" s="6"/>
      <c r="G119" s="2"/>
      <c r="H119" s="6"/>
      <c r="I119" s="9" t="s">
        <v>70</v>
      </c>
    </row>
    <row r="120" ht="15.75" customHeight="1">
      <c r="A120" s="2" t="s">
        <v>1268</v>
      </c>
      <c r="B120" s="6" t="s">
        <v>1269</v>
      </c>
      <c r="C120" s="6" t="s">
        <v>829</v>
      </c>
      <c r="D120" s="6" t="s">
        <v>33</v>
      </c>
      <c r="E120" s="6" t="s">
        <v>1271</v>
      </c>
      <c r="F120" s="6" t="s">
        <v>1273</v>
      </c>
      <c r="G120" s="2" t="s">
        <v>1274</v>
      </c>
      <c r="H120" s="6" t="s">
        <v>1276</v>
      </c>
    </row>
    <row r="121" ht="15.75" customHeight="1">
      <c r="A121" s="2" t="s">
        <v>1261</v>
      </c>
      <c r="B121" s="6" t="s">
        <v>1279</v>
      </c>
      <c r="C121" s="6" t="s">
        <v>1281</v>
      </c>
      <c r="D121" s="6" t="s">
        <v>33</v>
      </c>
      <c r="E121" s="6" t="s">
        <v>1265</v>
      </c>
      <c r="F121" s="6"/>
      <c r="G121" s="2"/>
      <c r="H121" s="6"/>
      <c r="I121" s="9" t="s">
        <v>70</v>
      </c>
    </row>
    <row r="122" ht="15.75" customHeight="1">
      <c r="A122" s="2" t="s">
        <v>1287</v>
      </c>
      <c r="B122" s="6" t="s">
        <v>1290</v>
      </c>
      <c r="C122" s="6">
        <v>49600.0</v>
      </c>
      <c r="D122" s="6" t="s">
        <v>33</v>
      </c>
      <c r="E122" s="6" t="s">
        <v>1294</v>
      </c>
      <c r="F122" s="6" t="s">
        <v>1297</v>
      </c>
      <c r="G122" s="2"/>
      <c r="H122" s="21"/>
    </row>
    <row r="123" ht="15.75" customHeight="1">
      <c r="A123" s="2" t="s">
        <v>1300</v>
      </c>
      <c r="B123" s="6"/>
      <c r="C123" s="6"/>
      <c r="D123" s="6"/>
      <c r="E123" s="6" t="s">
        <v>1302</v>
      </c>
      <c r="F123" s="6"/>
      <c r="G123" s="2" t="s">
        <v>1304</v>
      </c>
      <c r="H123" s="21"/>
    </row>
    <row r="124" ht="15.75" customHeight="1">
      <c r="A124" s="20"/>
      <c r="B124" s="21"/>
      <c r="C124" s="21"/>
      <c r="D124" s="21"/>
      <c r="E124" s="21"/>
      <c r="F124" s="21"/>
      <c r="G124" s="20"/>
      <c r="H124" s="21"/>
    </row>
    <row r="125" ht="15.75" customHeight="1">
      <c r="A125" s="2" t="s">
        <v>1313</v>
      </c>
      <c r="B125" s="6"/>
      <c r="C125" s="6"/>
      <c r="D125" s="6" t="s">
        <v>52</v>
      </c>
      <c r="E125" s="6" t="s">
        <v>1316</v>
      </c>
      <c r="F125" s="6" t="s">
        <v>1318</v>
      </c>
      <c r="G125" s="2" t="s">
        <v>1320</v>
      </c>
      <c r="H125" s="6"/>
      <c r="I125" s="9" t="s">
        <v>70</v>
      </c>
    </row>
    <row r="126" ht="15.75" customHeight="1">
      <c r="A126" s="2" t="s">
        <v>1323</v>
      </c>
      <c r="B126" s="6"/>
      <c r="C126" s="6"/>
      <c r="D126" s="6" t="s">
        <v>52</v>
      </c>
      <c r="E126" s="6" t="s">
        <v>1326</v>
      </c>
      <c r="F126" s="6" t="s">
        <v>1327</v>
      </c>
      <c r="G126" s="2"/>
      <c r="H126" s="6"/>
      <c r="I126" s="9" t="s">
        <v>1329</v>
      </c>
    </row>
    <row r="127" ht="15.75" customHeight="1">
      <c r="A127" s="2" t="s">
        <v>1333</v>
      </c>
      <c r="B127" s="6"/>
      <c r="C127" s="6"/>
      <c r="D127" s="6" t="s">
        <v>52</v>
      </c>
      <c r="E127" s="6" t="s">
        <v>1335</v>
      </c>
      <c r="F127" s="6" t="s">
        <v>1337</v>
      </c>
      <c r="G127" s="2"/>
      <c r="H127" s="6"/>
    </row>
    <row r="128" ht="15.75" customHeight="1">
      <c r="A128" s="2" t="s">
        <v>1339</v>
      </c>
      <c r="B128" s="6"/>
      <c r="C128" s="6"/>
      <c r="D128" s="6" t="s">
        <v>52</v>
      </c>
      <c r="E128" s="6" t="s">
        <v>1340</v>
      </c>
      <c r="F128" s="6" t="s">
        <v>1341</v>
      </c>
      <c r="G128" s="2"/>
      <c r="H128" s="6"/>
    </row>
    <row r="129" ht="15.75" customHeight="1">
      <c r="A129" s="2" t="s">
        <v>1343</v>
      </c>
      <c r="B129" s="6"/>
      <c r="C129" s="6" t="s">
        <v>1344</v>
      </c>
      <c r="D129" s="6" t="s">
        <v>52</v>
      </c>
      <c r="E129" s="6" t="s">
        <v>1346</v>
      </c>
      <c r="F129" s="6" t="s">
        <v>1347</v>
      </c>
      <c r="G129" s="2"/>
      <c r="H129" s="6"/>
    </row>
    <row r="130" ht="15.75" customHeight="1">
      <c r="A130" s="2" t="s">
        <v>1350</v>
      </c>
      <c r="B130" s="6" t="s">
        <v>1352</v>
      </c>
      <c r="C130" s="6" t="s">
        <v>1353</v>
      </c>
      <c r="D130" s="6" t="s">
        <v>52</v>
      </c>
      <c r="E130" s="6" t="s">
        <v>1355</v>
      </c>
      <c r="F130" s="6" t="s">
        <v>1356</v>
      </c>
      <c r="G130" s="2"/>
      <c r="H130" s="6"/>
      <c r="I130" s="9"/>
    </row>
    <row r="131" ht="15.75" customHeight="1">
      <c r="A131" s="2" t="s">
        <v>1359</v>
      </c>
      <c r="B131" s="6" t="s">
        <v>1361</v>
      </c>
      <c r="C131" s="6" t="s">
        <v>1362</v>
      </c>
      <c r="D131" s="6" t="s">
        <v>52</v>
      </c>
      <c r="E131" s="6" t="s">
        <v>1365</v>
      </c>
      <c r="F131" s="6" t="s">
        <v>1366</v>
      </c>
      <c r="G131" s="2"/>
      <c r="H131" s="6"/>
      <c r="I131" s="9" t="s">
        <v>1368</v>
      </c>
    </row>
    <row r="132" ht="15.75" customHeight="1">
      <c r="A132" s="2" t="s">
        <v>1369</v>
      </c>
      <c r="B132" s="6" t="s">
        <v>1286</v>
      </c>
      <c r="C132" s="6" t="s">
        <v>1288</v>
      </c>
      <c r="D132" s="6" t="s">
        <v>52</v>
      </c>
      <c r="E132" s="6" t="s">
        <v>1373</v>
      </c>
      <c r="F132" s="6" t="s">
        <v>1374</v>
      </c>
      <c r="G132" s="2" t="s">
        <v>1376</v>
      </c>
      <c r="H132" s="6"/>
      <c r="I132" s="9" t="s">
        <v>1377</v>
      </c>
    </row>
    <row r="133" ht="15.75" customHeight="1">
      <c r="A133" s="2" t="s">
        <v>1379</v>
      </c>
      <c r="B133" s="6" t="s">
        <v>1286</v>
      </c>
      <c r="C133" s="6" t="s">
        <v>1288</v>
      </c>
      <c r="D133" s="6" t="s">
        <v>52</v>
      </c>
      <c r="E133" s="2" t="s">
        <v>1380</v>
      </c>
      <c r="F133" s="2" t="s">
        <v>1381</v>
      </c>
      <c r="G133" s="2" t="s">
        <v>1382</v>
      </c>
      <c r="H133" s="2" t="s">
        <v>1384</v>
      </c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A134" s="2" t="s">
        <v>1389</v>
      </c>
      <c r="B134" s="6" t="s">
        <v>1390</v>
      </c>
      <c r="C134" s="6" t="s">
        <v>1391</v>
      </c>
      <c r="D134" s="6" t="s">
        <v>52</v>
      </c>
      <c r="E134" s="6" t="s">
        <v>1393</v>
      </c>
      <c r="F134" s="6" t="s">
        <v>1394</v>
      </c>
      <c r="G134" s="2"/>
      <c r="H134" s="6"/>
      <c r="I134" s="9" t="s">
        <v>1396</v>
      </c>
    </row>
    <row r="135" ht="15.75" customHeight="1">
      <c r="A135" s="2" t="s">
        <v>1399</v>
      </c>
      <c r="B135" s="6" t="s">
        <v>1400</v>
      </c>
      <c r="C135" s="6">
        <v>35260.0</v>
      </c>
      <c r="D135" s="6" t="s">
        <v>52</v>
      </c>
      <c r="E135" s="6" t="s">
        <v>1402</v>
      </c>
      <c r="F135" s="6" t="s">
        <v>1403</v>
      </c>
      <c r="G135" s="2" t="s">
        <v>1404</v>
      </c>
      <c r="H135" s="6"/>
      <c r="I135" s="9"/>
    </row>
    <row r="136" ht="15.75" customHeight="1">
      <c r="A136" s="2" t="s">
        <v>1407</v>
      </c>
      <c r="B136" s="6" t="s">
        <v>1409</v>
      </c>
      <c r="C136" s="6" t="s">
        <v>1411</v>
      </c>
      <c r="D136" s="6" t="s">
        <v>52</v>
      </c>
      <c r="E136" s="6" t="s">
        <v>1413</v>
      </c>
      <c r="F136" s="6" t="s">
        <v>1415</v>
      </c>
      <c r="G136" s="2" t="s">
        <v>1417</v>
      </c>
      <c r="H136" s="6" t="s">
        <v>1418</v>
      </c>
      <c r="I136" s="9" t="s">
        <v>1419</v>
      </c>
    </row>
    <row r="137" ht="15.75" customHeight="1">
      <c r="A137" s="2" t="s">
        <v>1420</v>
      </c>
      <c r="B137" s="6" t="s">
        <v>1308</v>
      </c>
      <c r="C137" s="6" t="s">
        <v>1311</v>
      </c>
      <c r="D137" s="6" t="s">
        <v>52</v>
      </c>
      <c r="E137" s="6" t="s">
        <v>1423</v>
      </c>
      <c r="F137" s="6" t="s">
        <v>1425</v>
      </c>
      <c r="G137" s="2"/>
      <c r="H137" s="6"/>
      <c r="I137" s="9" t="s">
        <v>1427</v>
      </c>
    </row>
    <row r="138" ht="15.0" customHeight="1">
      <c r="A138" s="2" t="s">
        <v>1430</v>
      </c>
      <c r="B138" s="6" t="s">
        <v>1308</v>
      </c>
      <c r="C138" s="22">
        <v>35220.0</v>
      </c>
      <c r="D138" s="6" t="s">
        <v>52</v>
      </c>
      <c r="E138" s="6" t="s">
        <v>1315</v>
      </c>
      <c r="F138" s="6" t="s">
        <v>1433</v>
      </c>
      <c r="G138" s="2" t="s">
        <v>1435</v>
      </c>
      <c r="H138" s="6"/>
      <c r="I138" s="9"/>
    </row>
    <row r="139" ht="15.0" customHeight="1">
      <c r="A139" s="2" t="s">
        <v>1436</v>
      </c>
      <c r="B139" s="6" t="s">
        <v>1437</v>
      </c>
      <c r="C139" s="6" t="s">
        <v>1438</v>
      </c>
      <c r="D139" s="6" t="s">
        <v>52</v>
      </c>
      <c r="E139" s="6" t="s">
        <v>1440</v>
      </c>
      <c r="F139" s="6" t="s">
        <v>1442</v>
      </c>
      <c r="G139" s="2"/>
      <c r="H139" s="6"/>
      <c r="I139" s="9" t="s">
        <v>1444</v>
      </c>
    </row>
    <row r="140" ht="15.75" customHeight="1">
      <c r="A140" s="2" t="s">
        <v>1448</v>
      </c>
      <c r="B140" s="6" t="s">
        <v>1449</v>
      </c>
      <c r="C140" s="6" t="s">
        <v>1450</v>
      </c>
      <c r="D140" s="6" t="s">
        <v>52</v>
      </c>
      <c r="E140" s="6" t="s">
        <v>1451</v>
      </c>
      <c r="F140" s="6"/>
      <c r="G140" s="2"/>
      <c r="H140" s="6"/>
      <c r="I140" s="9" t="s">
        <v>1453</v>
      </c>
    </row>
    <row r="141" ht="15.75" customHeight="1">
      <c r="A141" s="2" t="s">
        <v>1454</v>
      </c>
      <c r="B141" s="6" t="s">
        <v>1456</v>
      </c>
      <c r="C141" s="6" t="s">
        <v>1457</v>
      </c>
      <c r="D141" s="6" t="s">
        <v>52</v>
      </c>
      <c r="E141" s="6" t="s">
        <v>1461</v>
      </c>
      <c r="F141" s="6" t="s">
        <v>1462</v>
      </c>
      <c r="G141" s="2" t="s">
        <v>1463</v>
      </c>
      <c r="H141" s="6" t="s">
        <v>1464</v>
      </c>
      <c r="I141" s="9" t="s">
        <v>70</v>
      </c>
    </row>
    <row r="142" ht="15.75" customHeight="1">
      <c r="A142" s="2" t="s">
        <v>1466</v>
      </c>
      <c r="B142" s="6" t="s">
        <v>1467</v>
      </c>
      <c r="C142" s="6" t="s">
        <v>1468</v>
      </c>
      <c r="D142" s="6" t="s">
        <v>52</v>
      </c>
      <c r="E142" s="6" t="s">
        <v>1470</v>
      </c>
      <c r="F142" s="6"/>
      <c r="G142" s="2"/>
      <c r="H142" s="6"/>
      <c r="I142" s="9" t="s">
        <v>1472</v>
      </c>
    </row>
    <row r="143" ht="15.75" customHeight="1">
      <c r="A143" s="2" t="s">
        <v>1473</v>
      </c>
      <c r="B143" s="6" t="s">
        <v>1474</v>
      </c>
      <c r="C143" s="6" t="s">
        <v>1475</v>
      </c>
      <c r="D143" s="6" t="s">
        <v>52</v>
      </c>
      <c r="E143" s="6" t="s">
        <v>1477</v>
      </c>
      <c r="F143" s="6" t="s">
        <v>1478</v>
      </c>
      <c r="G143" s="2" t="s">
        <v>112</v>
      </c>
      <c r="H143" s="6"/>
      <c r="I143" s="9" t="s">
        <v>1479</v>
      </c>
    </row>
    <row r="144" ht="15.75" customHeight="1">
      <c r="A144" s="2" t="s">
        <v>1480</v>
      </c>
      <c r="B144" s="6" t="s">
        <v>1481</v>
      </c>
      <c r="C144" s="6">
        <v>35130.0</v>
      </c>
      <c r="D144" s="6" t="s">
        <v>52</v>
      </c>
      <c r="E144" s="6" t="s">
        <v>1483</v>
      </c>
      <c r="F144" s="6" t="s">
        <v>1484</v>
      </c>
      <c r="G144" s="2" t="s">
        <v>1485</v>
      </c>
      <c r="H144" s="6"/>
      <c r="I144" s="9"/>
    </row>
    <row r="145" ht="15.75" customHeight="1">
      <c r="A145" s="2" t="s">
        <v>1487</v>
      </c>
      <c r="B145" s="6" t="s">
        <v>1488</v>
      </c>
      <c r="C145" s="6" t="s">
        <v>1344</v>
      </c>
      <c r="D145" s="6" t="s">
        <v>52</v>
      </c>
      <c r="E145" s="6" t="s">
        <v>1489</v>
      </c>
      <c r="F145" s="6" t="s">
        <v>1490</v>
      </c>
      <c r="G145" s="2" t="s">
        <v>1491</v>
      </c>
      <c r="H145" s="6" t="s">
        <v>1418</v>
      </c>
      <c r="I145" s="9" t="s">
        <v>1492</v>
      </c>
    </row>
    <row r="146" ht="15.75" customHeight="1">
      <c r="A146" s="2" t="s">
        <v>1494</v>
      </c>
      <c r="B146" s="6" t="s">
        <v>1496</v>
      </c>
      <c r="C146" s="6" t="s">
        <v>1497</v>
      </c>
      <c r="D146" s="6" t="s">
        <v>52</v>
      </c>
      <c r="E146" s="6" t="s">
        <v>1499</v>
      </c>
      <c r="F146" s="6" t="s">
        <v>1500</v>
      </c>
      <c r="G146" s="2" t="s">
        <v>1503</v>
      </c>
      <c r="H146" s="6"/>
      <c r="I146" s="9" t="s">
        <v>68</v>
      </c>
    </row>
    <row r="147" ht="15.75" customHeight="1">
      <c r="A147" s="2" t="s">
        <v>1505</v>
      </c>
      <c r="B147" s="6" t="s">
        <v>1506</v>
      </c>
      <c r="C147" s="6" t="s">
        <v>1508</v>
      </c>
      <c r="D147" s="6" t="s">
        <v>52</v>
      </c>
      <c r="E147" s="6" t="s">
        <v>1510</v>
      </c>
      <c r="F147" s="6"/>
      <c r="G147" s="2"/>
      <c r="H147" s="6"/>
      <c r="I147" s="9" t="s">
        <v>1511</v>
      </c>
    </row>
    <row r="148" ht="15.75" customHeight="1">
      <c r="A148" s="2" t="s">
        <v>1512</v>
      </c>
      <c r="B148" s="6" t="s">
        <v>1513</v>
      </c>
      <c r="C148" s="6" t="s">
        <v>1514</v>
      </c>
      <c r="D148" s="6" t="s">
        <v>52</v>
      </c>
      <c r="E148" s="6" t="s">
        <v>1515</v>
      </c>
      <c r="F148" s="6" t="s">
        <v>1517</v>
      </c>
      <c r="G148" s="2" t="s">
        <v>1519</v>
      </c>
      <c r="H148" s="6"/>
      <c r="I148" s="9" t="s">
        <v>1520</v>
      </c>
    </row>
    <row r="149" ht="15.75" customHeight="1">
      <c r="A149" s="2" t="s">
        <v>1522</v>
      </c>
      <c r="B149" s="6" t="s">
        <v>1523</v>
      </c>
      <c r="C149" s="6" t="s">
        <v>1272</v>
      </c>
      <c r="D149" s="6" t="s">
        <v>52</v>
      </c>
      <c r="E149" s="6"/>
      <c r="F149" s="6"/>
      <c r="G149" s="2" t="s">
        <v>1527</v>
      </c>
      <c r="H149" s="6"/>
      <c r="I149" s="9" t="s">
        <v>1377</v>
      </c>
    </row>
    <row r="150" ht="15.75" customHeight="1">
      <c r="A150" s="2" t="s">
        <v>1528</v>
      </c>
      <c r="B150" s="6" t="s">
        <v>1529</v>
      </c>
      <c r="C150" s="6" t="s">
        <v>1531</v>
      </c>
      <c r="D150" s="6" t="s">
        <v>52</v>
      </c>
      <c r="E150" s="6" t="s">
        <v>1532</v>
      </c>
      <c r="F150" s="6"/>
      <c r="G150" s="2"/>
      <c r="H150" s="6"/>
      <c r="I150" s="9" t="s">
        <v>1533</v>
      </c>
    </row>
    <row r="151" ht="15.75" customHeight="1">
      <c r="A151" s="2" t="s">
        <v>1536</v>
      </c>
      <c r="B151" s="6" t="s">
        <v>1537</v>
      </c>
      <c r="C151" s="6" t="s">
        <v>1538</v>
      </c>
      <c r="D151" s="6" t="s">
        <v>52</v>
      </c>
      <c r="E151" s="6"/>
      <c r="F151" s="6" t="s">
        <v>1539</v>
      </c>
      <c r="G151" s="2" t="s">
        <v>1417</v>
      </c>
      <c r="H151" s="6" t="s">
        <v>1418</v>
      </c>
      <c r="I151" s="9" t="s">
        <v>1542</v>
      </c>
    </row>
    <row r="152" ht="15.75" customHeight="1">
      <c r="A152" s="2" t="s">
        <v>1544</v>
      </c>
      <c r="B152" s="6" t="s">
        <v>1545</v>
      </c>
      <c r="C152" s="6" t="s">
        <v>1547</v>
      </c>
      <c r="D152" s="6" t="s">
        <v>52</v>
      </c>
      <c r="E152" s="6" t="s">
        <v>1548</v>
      </c>
      <c r="F152" s="6" t="s">
        <v>1550</v>
      </c>
      <c r="G152" s="2"/>
      <c r="H152" s="6"/>
      <c r="I152" s="9" t="s">
        <v>1551</v>
      </c>
    </row>
    <row r="153" ht="15.75" customHeight="1">
      <c r="A153" s="2" t="s">
        <v>1552</v>
      </c>
      <c r="B153" s="6" t="s">
        <v>1554</v>
      </c>
      <c r="C153" s="6" t="s">
        <v>1556</v>
      </c>
      <c r="D153" s="6" t="s">
        <v>52</v>
      </c>
      <c r="E153" s="6" t="s">
        <v>1557</v>
      </c>
      <c r="F153" s="6" t="s">
        <v>1559</v>
      </c>
      <c r="G153" s="2"/>
      <c r="H153" s="6"/>
      <c r="I153" s="9" t="s">
        <v>1561</v>
      </c>
    </row>
    <row r="154" ht="15.75" customHeight="1">
      <c r="A154" s="2" t="s">
        <v>1563</v>
      </c>
      <c r="B154" s="6" t="s">
        <v>1564</v>
      </c>
      <c r="C154" s="6" t="s">
        <v>1566</v>
      </c>
      <c r="D154" s="6" t="s">
        <v>52</v>
      </c>
      <c r="E154" s="6"/>
      <c r="F154" s="6"/>
      <c r="G154" s="2"/>
      <c r="H154" s="6"/>
      <c r="I154" s="9" t="s">
        <v>1567</v>
      </c>
    </row>
    <row r="155" ht="15.75" customHeight="1">
      <c r="A155" s="2" t="s">
        <v>1569</v>
      </c>
      <c r="B155" s="6" t="s">
        <v>1570</v>
      </c>
      <c r="C155" s="6" t="s">
        <v>1351</v>
      </c>
      <c r="D155" s="6" t="s">
        <v>52</v>
      </c>
      <c r="E155" s="6" t="s">
        <v>1574</v>
      </c>
      <c r="F155" s="6" t="s">
        <v>1576</v>
      </c>
      <c r="G155" s="2" t="s">
        <v>1577</v>
      </c>
      <c r="H155" s="6"/>
      <c r="I155" s="9" t="s">
        <v>1578</v>
      </c>
    </row>
    <row r="156" ht="15.75" customHeight="1">
      <c r="A156" s="2" t="s">
        <v>1580</v>
      </c>
      <c r="B156" s="6" t="s">
        <v>1349</v>
      </c>
      <c r="C156" s="6" t="s">
        <v>1351</v>
      </c>
      <c r="D156" s="6" t="s">
        <v>52</v>
      </c>
      <c r="E156" s="6" t="s">
        <v>1581</v>
      </c>
      <c r="F156" s="6" t="s">
        <v>1582</v>
      </c>
      <c r="G156" s="2"/>
      <c r="H156" s="6"/>
      <c r="I156" s="9" t="s">
        <v>1585</v>
      </c>
    </row>
    <row r="157" ht="15.75" customHeight="1">
      <c r="A157" s="2" t="s">
        <v>1588</v>
      </c>
      <c r="B157" s="6" t="s">
        <v>1349</v>
      </c>
      <c r="C157" s="6" t="s">
        <v>1351</v>
      </c>
      <c r="D157" s="6" t="s">
        <v>52</v>
      </c>
      <c r="E157" s="6" t="s">
        <v>1589</v>
      </c>
      <c r="F157" s="6"/>
      <c r="G157" s="2"/>
      <c r="H157" s="6"/>
      <c r="I157" s="9" t="s">
        <v>1591</v>
      </c>
    </row>
    <row r="158" ht="15.75" customHeight="1">
      <c r="A158" s="2" t="s">
        <v>1593</v>
      </c>
      <c r="B158" s="6" t="s">
        <v>1349</v>
      </c>
      <c r="C158" s="6" t="s">
        <v>1351</v>
      </c>
      <c r="D158" s="6" t="s">
        <v>52</v>
      </c>
      <c r="E158" s="6" t="s">
        <v>1596</v>
      </c>
      <c r="F158" s="6" t="s">
        <v>1598</v>
      </c>
      <c r="G158" s="2"/>
      <c r="H158" s="6"/>
      <c r="I158" s="9" t="s">
        <v>1600</v>
      </c>
    </row>
    <row r="159" ht="15.75" customHeight="1">
      <c r="A159" s="2" t="s">
        <v>1602</v>
      </c>
      <c r="B159" s="6" t="s">
        <v>1349</v>
      </c>
      <c r="C159" s="6" t="s">
        <v>1603</v>
      </c>
      <c r="D159" s="6" t="s">
        <v>52</v>
      </c>
      <c r="E159" s="6" t="s">
        <v>1605</v>
      </c>
      <c r="F159" s="6" t="s">
        <v>1606</v>
      </c>
      <c r="G159" s="2"/>
      <c r="H159" s="6"/>
    </row>
    <row r="160" ht="15.75" customHeight="1">
      <c r="A160" s="2" t="s">
        <v>1609</v>
      </c>
      <c r="B160" s="6" t="s">
        <v>1349</v>
      </c>
      <c r="C160" s="6" t="s">
        <v>1611</v>
      </c>
      <c r="D160" s="6" t="s">
        <v>52</v>
      </c>
      <c r="E160" s="6" t="s">
        <v>1612</v>
      </c>
      <c r="F160" s="6" t="s">
        <v>1613</v>
      </c>
      <c r="G160" s="2"/>
      <c r="H160" s="6"/>
    </row>
    <row r="161" ht="15.75" customHeight="1">
      <c r="A161" s="2" t="s">
        <v>1615</v>
      </c>
      <c r="B161" s="6" t="s">
        <v>1349</v>
      </c>
      <c r="C161" s="6" t="s">
        <v>1351</v>
      </c>
      <c r="D161" s="6" t="s">
        <v>52</v>
      </c>
      <c r="E161" s="6" t="s">
        <v>1617</v>
      </c>
      <c r="F161" s="6" t="s">
        <v>1619</v>
      </c>
      <c r="G161" s="2" t="s">
        <v>783</v>
      </c>
      <c r="H161" s="6"/>
      <c r="I161" s="9" t="s">
        <v>1621</v>
      </c>
    </row>
    <row r="162" ht="15.75" customHeight="1">
      <c r="A162" s="2" t="s">
        <v>1623</v>
      </c>
      <c r="B162" s="6" t="s">
        <v>1349</v>
      </c>
      <c r="C162" s="6" t="s">
        <v>1351</v>
      </c>
      <c r="D162" s="6" t="s">
        <v>52</v>
      </c>
      <c r="E162" s="6" t="s">
        <v>1624</v>
      </c>
      <c r="F162" s="6" t="s">
        <v>1625</v>
      </c>
      <c r="G162" s="2" t="s">
        <v>68</v>
      </c>
      <c r="H162" s="6" t="s">
        <v>1627</v>
      </c>
      <c r="I162" s="9" t="s">
        <v>1628</v>
      </c>
    </row>
    <row r="163" ht="15.75" customHeight="1">
      <c r="A163" s="2" t="s">
        <v>1631</v>
      </c>
      <c r="B163" s="6" t="s">
        <v>1349</v>
      </c>
      <c r="C163" s="6" t="s">
        <v>1632</v>
      </c>
      <c r="D163" s="6" t="s">
        <v>52</v>
      </c>
      <c r="E163" s="6" t="s">
        <v>1635</v>
      </c>
      <c r="F163" s="6"/>
      <c r="G163" s="2" t="s">
        <v>1636</v>
      </c>
      <c r="H163" s="6"/>
      <c r="I163" s="9"/>
    </row>
    <row r="164" ht="15.75" customHeight="1">
      <c r="A164" s="2" t="s">
        <v>1638</v>
      </c>
      <c r="B164" s="6" t="s">
        <v>1349</v>
      </c>
      <c r="C164" s="6" t="s">
        <v>1351</v>
      </c>
      <c r="D164" s="6" t="s">
        <v>52</v>
      </c>
      <c r="E164" s="6" t="s">
        <v>1640</v>
      </c>
      <c r="F164" s="6" t="s">
        <v>1642</v>
      </c>
      <c r="G164" s="2"/>
      <c r="H164" s="6"/>
      <c r="I164" s="9" t="s">
        <v>1644</v>
      </c>
    </row>
    <row r="165" ht="15.75" customHeight="1">
      <c r="A165" s="2" t="s">
        <v>1647</v>
      </c>
      <c r="B165" s="6" t="s">
        <v>1349</v>
      </c>
      <c r="C165" s="22">
        <v>35000.0</v>
      </c>
      <c r="D165" s="6" t="s">
        <v>52</v>
      </c>
      <c r="E165" s="6" t="s">
        <v>1315</v>
      </c>
      <c r="F165" s="6" t="s">
        <v>1650</v>
      </c>
      <c r="G165" s="2" t="s">
        <v>1651</v>
      </c>
      <c r="H165" s="6"/>
      <c r="I165" s="9"/>
    </row>
    <row r="166" ht="15.75" customHeight="1">
      <c r="A166" s="2" t="s">
        <v>1652</v>
      </c>
      <c r="B166" s="6" t="s">
        <v>1349</v>
      </c>
      <c r="C166" s="22">
        <v>35000.0</v>
      </c>
      <c r="D166" s="6" t="s">
        <v>52</v>
      </c>
      <c r="E166" s="6" t="s">
        <v>1653</v>
      </c>
      <c r="F166" s="6" t="s">
        <v>1654</v>
      </c>
      <c r="G166" s="2" t="s">
        <v>1655</v>
      </c>
      <c r="H166" s="6"/>
      <c r="I166" s="9"/>
    </row>
    <row r="167" ht="15.75" customHeight="1">
      <c r="A167" s="2" t="s">
        <v>1657</v>
      </c>
      <c r="B167" s="6" t="s">
        <v>1658</v>
      </c>
      <c r="C167" s="22">
        <v>35000.0</v>
      </c>
      <c r="D167" s="6" t="s">
        <v>52</v>
      </c>
      <c r="E167" s="6" t="s">
        <v>1661</v>
      </c>
      <c r="F167" s="6" t="s">
        <v>1663</v>
      </c>
      <c r="G167" s="2"/>
      <c r="H167" s="6"/>
      <c r="I167" s="9" t="s">
        <v>1665</v>
      </c>
    </row>
    <row r="168" ht="15.75" customHeight="1">
      <c r="A168" s="2" t="s">
        <v>1667</v>
      </c>
      <c r="B168" s="6" t="s">
        <v>1669</v>
      </c>
      <c r="C168" s="6" t="s">
        <v>1670</v>
      </c>
      <c r="D168" s="6" t="s">
        <v>52</v>
      </c>
      <c r="E168" s="6" t="s">
        <v>1671</v>
      </c>
      <c r="F168" s="6" t="s">
        <v>1673</v>
      </c>
      <c r="G168" s="2" t="s">
        <v>1674</v>
      </c>
      <c r="H168" s="6" t="s">
        <v>1675</v>
      </c>
      <c r="I168" s="9" t="s">
        <v>1676</v>
      </c>
    </row>
    <row r="169" ht="15.75" customHeight="1">
      <c r="A169" s="2" t="s">
        <v>1677</v>
      </c>
      <c r="B169" s="6" t="s">
        <v>1678</v>
      </c>
      <c r="C169" s="6" t="s">
        <v>1450</v>
      </c>
      <c r="D169" s="6" t="s">
        <v>52</v>
      </c>
      <c r="E169" s="6" t="s">
        <v>1679</v>
      </c>
      <c r="F169" s="6"/>
      <c r="G169" s="2"/>
      <c r="H169" s="6"/>
      <c r="I169" s="9" t="s">
        <v>70</v>
      </c>
    </row>
    <row r="170" ht="15.75" customHeight="1">
      <c r="A170" s="2" t="s">
        <v>1680</v>
      </c>
      <c r="B170" s="6" t="s">
        <v>1682</v>
      </c>
      <c r="C170" s="6" t="s">
        <v>1683</v>
      </c>
      <c r="D170" s="6" t="s">
        <v>52</v>
      </c>
      <c r="E170" s="6" t="s">
        <v>1685</v>
      </c>
      <c r="F170" s="6"/>
      <c r="G170" s="2"/>
      <c r="H170" s="6"/>
      <c r="I170" s="9" t="s">
        <v>1688</v>
      </c>
    </row>
    <row r="171" ht="15.75" customHeight="1">
      <c r="A171" s="2" t="s">
        <v>1691</v>
      </c>
      <c r="B171" s="6" t="s">
        <v>1692</v>
      </c>
      <c r="C171" s="6" t="s">
        <v>1693</v>
      </c>
      <c r="D171" s="6" t="s">
        <v>52</v>
      </c>
      <c r="E171" s="6" t="s">
        <v>1694</v>
      </c>
      <c r="F171" s="6" t="s">
        <v>1695</v>
      </c>
      <c r="G171" s="2"/>
      <c r="H171" s="6" t="s">
        <v>1696</v>
      </c>
      <c r="I171" s="9" t="s">
        <v>1697</v>
      </c>
    </row>
    <row r="172" ht="15.75" customHeight="1">
      <c r="A172" s="2" t="s">
        <v>1698</v>
      </c>
      <c r="B172" s="6" t="s">
        <v>1699</v>
      </c>
      <c r="C172" s="6" t="s">
        <v>1700</v>
      </c>
      <c r="D172" s="6" t="s">
        <v>52</v>
      </c>
      <c r="E172" s="6" t="s">
        <v>1701</v>
      </c>
      <c r="F172" s="6" t="s">
        <v>1702</v>
      </c>
      <c r="G172" s="2"/>
      <c r="H172" s="6"/>
      <c r="I172" s="9" t="s">
        <v>1703</v>
      </c>
    </row>
    <row r="173" ht="15.75" customHeight="1">
      <c r="A173" s="2" t="s">
        <v>1704</v>
      </c>
      <c r="B173" s="6" t="s">
        <v>1699</v>
      </c>
      <c r="C173" s="6" t="s">
        <v>1700</v>
      </c>
      <c r="D173" s="6" t="s">
        <v>52</v>
      </c>
      <c r="E173" s="6" t="s">
        <v>1705</v>
      </c>
      <c r="F173" s="6" t="s">
        <v>1706</v>
      </c>
      <c r="G173" s="2"/>
      <c r="H173" s="6"/>
    </row>
    <row r="174" ht="15.75" customHeight="1">
      <c r="A174" s="2" t="s">
        <v>1707</v>
      </c>
      <c r="B174" s="6" t="s">
        <v>1370</v>
      </c>
      <c r="C174" s="6" t="s">
        <v>1371</v>
      </c>
      <c r="D174" s="6" t="s">
        <v>52</v>
      </c>
      <c r="E174" s="6" t="s">
        <v>1708</v>
      </c>
      <c r="F174" s="6" t="s">
        <v>1709</v>
      </c>
      <c r="G174" s="2"/>
      <c r="H174" s="6"/>
      <c r="I174" s="9" t="s">
        <v>1711</v>
      </c>
    </row>
    <row r="175" ht="15.75" customHeight="1">
      <c r="A175" s="2" t="s">
        <v>1712</v>
      </c>
      <c r="B175" s="6" t="s">
        <v>1370</v>
      </c>
      <c r="C175" s="6" t="s">
        <v>1371</v>
      </c>
      <c r="D175" s="6" t="s">
        <v>52</v>
      </c>
      <c r="E175" s="6" t="s">
        <v>1714</v>
      </c>
      <c r="F175" s="6" t="s">
        <v>1715</v>
      </c>
      <c r="G175" s="2" t="s">
        <v>1716</v>
      </c>
      <c r="H175" s="6" t="s">
        <v>1717</v>
      </c>
      <c r="I175" s="9" t="s">
        <v>1718</v>
      </c>
    </row>
    <row r="176" ht="15.75" customHeight="1">
      <c r="A176" s="2" t="s">
        <v>1719</v>
      </c>
      <c r="B176" s="6" t="s">
        <v>1370</v>
      </c>
      <c r="C176" s="6" t="s">
        <v>1371</v>
      </c>
      <c r="D176" s="6" t="s">
        <v>52</v>
      </c>
      <c r="E176" s="6"/>
      <c r="F176" s="6"/>
      <c r="G176" s="2" t="s">
        <v>1716</v>
      </c>
      <c r="H176" s="6"/>
    </row>
    <row r="177" ht="15.75" customHeight="1">
      <c r="A177" s="2" t="s">
        <v>1721</v>
      </c>
      <c r="B177" s="6" t="s">
        <v>1370</v>
      </c>
      <c r="C177" s="6" t="s">
        <v>1371</v>
      </c>
      <c r="D177" s="6" t="s">
        <v>52</v>
      </c>
      <c r="E177" s="6" t="s">
        <v>1722</v>
      </c>
      <c r="F177" s="6" t="s">
        <v>1723</v>
      </c>
      <c r="G177" s="2" t="s">
        <v>1724</v>
      </c>
      <c r="H177" s="6" t="s">
        <v>1724</v>
      </c>
      <c r="I177" s="9"/>
    </row>
    <row r="178" ht="15.75" customHeight="1">
      <c r="A178" s="2" t="s">
        <v>1725</v>
      </c>
      <c r="B178" s="6" t="s">
        <v>1370</v>
      </c>
      <c r="C178" s="6">
        <v>35400.0</v>
      </c>
      <c r="D178" s="6" t="s">
        <v>52</v>
      </c>
      <c r="E178" s="6" t="s">
        <v>1726</v>
      </c>
      <c r="F178" s="6" t="s">
        <v>1727</v>
      </c>
      <c r="G178" s="2" t="s">
        <v>1728</v>
      </c>
      <c r="H178" s="6" t="s">
        <v>1729</v>
      </c>
      <c r="I178" s="9"/>
    </row>
    <row r="179" ht="15.75" customHeight="1">
      <c r="A179" s="2" t="s">
        <v>1730</v>
      </c>
      <c r="B179" s="6" t="s">
        <v>1234</v>
      </c>
      <c r="C179" s="6" t="s">
        <v>1731</v>
      </c>
      <c r="D179" s="6" t="s">
        <v>52</v>
      </c>
      <c r="E179" s="6" t="s">
        <v>1732</v>
      </c>
      <c r="F179" s="6" t="s">
        <v>1733</v>
      </c>
      <c r="G179" s="2"/>
      <c r="H179" s="6"/>
      <c r="I179" s="9" t="s">
        <v>1734</v>
      </c>
    </row>
    <row r="180" ht="15.75" customHeight="1">
      <c r="A180" s="2" t="s">
        <v>1735</v>
      </c>
      <c r="B180" s="6" t="s">
        <v>1234</v>
      </c>
      <c r="C180" s="6" t="s">
        <v>1731</v>
      </c>
      <c r="D180" s="6" t="s">
        <v>52</v>
      </c>
      <c r="E180" s="6" t="s">
        <v>1736</v>
      </c>
      <c r="F180" s="6"/>
      <c r="G180" s="2"/>
      <c r="H180" s="6"/>
      <c r="I180" s="9" t="s">
        <v>1737</v>
      </c>
    </row>
    <row r="181" ht="15.75" customHeight="1">
      <c r="A181" s="2" t="s">
        <v>1738</v>
      </c>
      <c r="B181" s="6" t="s">
        <v>1234</v>
      </c>
      <c r="C181" s="6" t="s">
        <v>1731</v>
      </c>
      <c r="D181" s="6" t="s">
        <v>52</v>
      </c>
      <c r="E181" s="6" t="s">
        <v>1739</v>
      </c>
      <c r="F181" s="6" t="s">
        <v>1740</v>
      </c>
      <c r="G181" s="2" t="s">
        <v>1742</v>
      </c>
      <c r="H181" s="6"/>
      <c r="I181" s="9" t="s">
        <v>1743</v>
      </c>
    </row>
    <row r="182" ht="15.75" customHeight="1">
      <c r="A182" s="2" t="s">
        <v>1745</v>
      </c>
      <c r="B182" s="6" t="s">
        <v>1234</v>
      </c>
      <c r="C182" s="6" t="s">
        <v>1731</v>
      </c>
      <c r="D182" s="6" t="s">
        <v>52</v>
      </c>
      <c r="E182" s="6" t="s">
        <v>1748</v>
      </c>
      <c r="F182" s="6"/>
      <c r="G182" s="2" t="s">
        <v>1742</v>
      </c>
      <c r="H182" s="6"/>
    </row>
    <row r="183" ht="15.75" customHeight="1">
      <c r="A183" s="2" t="s">
        <v>1749</v>
      </c>
      <c r="B183" s="6" t="s">
        <v>1234</v>
      </c>
      <c r="C183" s="6" t="s">
        <v>1731</v>
      </c>
      <c r="D183" s="6" t="s">
        <v>52</v>
      </c>
      <c r="E183" s="6" t="s">
        <v>1751</v>
      </c>
      <c r="F183" s="6"/>
      <c r="G183" s="2"/>
      <c r="H183" s="6"/>
      <c r="I183" s="9" t="s">
        <v>1753</v>
      </c>
    </row>
    <row r="184" ht="15.75" customHeight="1">
      <c r="A184" s="35" t="s">
        <v>1749</v>
      </c>
      <c r="B184" s="36" t="s">
        <v>1234</v>
      </c>
      <c r="C184" s="6">
        <v>35500.0</v>
      </c>
      <c r="D184" s="6" t="s">
        <v>52</v>
      </c>
      <c r="E184" s="36" t="s">
        <v>1761</v>
      </c>
      <c r="F184" s="36" t="s">
        <v>1762</v>
      </c>
      <c r="G184" s="35" t="s">
        <v>1636</v>
      </c>
      <c r="H184" s="36"/>
    </row>
    <row r="185" ht="15.75" customHeight="1">
      <c r="A185" s="35" t="s">
        <v>1749</v>
      </c>
      <c r="B185" s="36" t="s">
        <v>1766</v>
      </c>
      <c r="C185" s="6">
        <v>35500.0</v>
      </c>
      <c r="D185" s="6" t="s">
        <v>52</v>
      </c>
      <c r="E185" s="36" t="s">
        <v>1767</v>
      </c>
      <c r="F185" s="36" t="s">
        <v>1769</v>
      </c>
      <c r="G185" s="35" t="s">
        <v>1771</v>
      </c>
      <c r="H185" s="36" t="s">
        <v>1772</v>
      </c>
    </row>
    <row r="186" ht="15.75" customHeight="1">
      <c r="A186" s="35" t="s">
        <v>1774</v>
      </c>
      <c r="B186" s="36" t="s">
        <v>1766</v>
      </c>
      <c r="C186" s="6">
        <v>35500.0</v>
      </c>
      <c r="D186" s="6" t="s">
        <v>52</v>
      </c>
      <c r="E186" s="36" t="s">
        <v>1775</v>
      </c>
      <c r="F186" s="36" t="s">
        <v>1776</v>
      </c>
      <c r="G186" s="35" t="s">
        <v>1777</v>
      </c>
      <c r="H186" s="36"/>
    </row>
    <row r="187" ht="15.75" customHeight="1">
      <c r="A187" s="35" t="s">
        <v>1780</v>
      </c>
      <c r="B187" s="36" t="s">
        <v>1766</v>
      </c>
      <c r="C187" s="36">
        <v>35300.0</v>
      </c>
      <c r="D187" s="6" t="s">
        <v>52</v>
      </c>
      <c r="E187" s="36" t="s">
        <v>1781</v>
      </c>
      <c r="F187" s="37" t="s">
        <v>1783</v>
      </c>
      <c r="G187" s="35" t="s">
        <v>1491</v>
      </c>
      <c r="H187" s="36"/>
    </row>
    <row r="188" ht="15.75" customHeight="1">
      <c r="A188" s="35" t="s">
        <v>1528</v>
      </c>
      <c r="B188" s="36" t="s">
        <v>1788</v>
      </c>
      <c r="C188" s="36">
        <v>35500.0</v>
      </c>
      <c r="D188" s="6" t="s">
        <v>52</v>
      </c>
      <c r="E188" s="36" t="s">
        <v>1532</v>
      </c>
      <c r="F188" s="37" t="s">
        <v>1790</v>
      </c>
      <c r="G188" s="35" t="s">
        <v>514</v>
      </c>
      <c r="H188" s="36"/>
    </row>
    <row r="189" ht="15.75" customHeight="1">
      <c r="A189" s="35" t="s">
        <v>1793</v>
      </c>
      <c r="B189" s="36" t="s">
        <v>1537</v>
      </c>
      <c r="C189" s="36">
        <v>35530.0</v>
      </c>
      <c r="D189" s="6" t="s">
        <v>52</v>
      </c>
      <c r="E189" s="36" t="s">
        <v>1795</v>
      </c>
      <c r="F189" s="37" t="s">
        <v>1796</v>
      </c>
      <c r="G189" s="35" t="s">
        <v>1797</v>
      </c>
      <c r="H189" s="36"/>
    </row>
    <row r="190" ht="15.75" customHeight="1">
      <c r="A190" s="35" t="s">
        <v>1799</v>
      </c>
      <c r="B190" s="36" t="s">
        <v>1800</v>
      </c>
      <c r="C190" s="36">
        <v>35140.0</v>
      </c>
      <c r="D190" s="6" t="s">
        <v>52</v>
      </c>
      <c r="E190" s="36" t="s">
        <v>1802</v>
      </c>
      <c r="F190" s="36" t="s">
        <v>1803</v>
      </c>
      <c r="G190" s="35" t="s">
        <v>930</v>
      </c>
      <c r="H190" s="36"/>
    </row>
    <row r="191" ht="15.75" customHeight="1">
      <c r="A191" s="20"/>
      <c r="B191" s="21"/>
      <c r="C191" s="21"/>
      <c r="D191" s="21"/>
      <c r="E191" s="21"/>
      <c r="F191" s="21"/>
      <c r="G191" s="20"/>
      <c r="H191" s="21"/>
    </row>
    <row r="192" ht="15.75" customHeight="1">
      <c r="A192" s="2" t="s">
        <v>1806</v>
      </c>
      <c r="B192" s="6"/>
      <c r="C192" s="6"/>
      <c r="D192" s="6" t="s">
        <v>37</v>
      </c>
      <c r="E192" s="6" t="s">
        <v>1808</v>
      </c>
      <c r="F192" s="6" t="s">
        <v>1809</v>
      </c>
      <c r="G192" s="2"/>
      <c r="H192" s="6" t="s">
        <v>1811</v>
      </c>
      <c r="I192" s="9" t="s">
        <v>1812</v>
      </c>
    </row>
    <row r="193" ht="15.75" customHeight="1">
      <c r="A193" s="2" t="s">
        <v>1814</v>
      </c>
      <c r="B193" s="6"/>
      <c r="C193" s="6"/>
      <c r="D193" s="6" t="s">
        <v>37</v>
      </c>
      <c r="E193" s="6" t="s">
        <v>1816</v>
      </c>
      <c r="F193" s="6" t="s">
        <v>1817</v>
      </c>
      <c r="G193" s="2"/>
      <c r="H193" s="6" t="s">
        <v>1818</v>
      </c>
      <c r="I193" s="9" t="s">
        <v>1628</v>
      </c>
    </row>
    <row r="194" ht="15.75" customHeight="1">
      <c r="A194" s="2" t="s">
        <v>1820</v>
      </c>
      <c r="B194" s="6" t="s">
        <v>1821</v>
      </c>
      <c r="C194" s="6" t="s">
        <v>1822</v>
      </c>
      <c r="D194" s="6" t="s">
        <v>37</v>
      </c>
      <c r="E194" s="6" t="s">
        <v>1823</v>
      </c>
      <c r="F194" s="6" t="s">
        <v>1824</v>
      </c>
      <c r="G194" s="2"/>
      <c r="H194" s="6"/>
      <c r="I194" s="9" t="s">
        <v>1628</v>
      </c>
    </row>
    <row r="195" ht="15.75" customHeight="1">
      <c r="A195" s="2" t="s">
        <v>1827</v>
      </c>
      <c r="B195" s="6" t="s">
        <v>1821</v>
      </c>
      <c r="C195" s="6" t="s">
        <v>1822</v>
      </c>
      <c r="D195" s="6" t="s">
        <v>37</v>
      </c>
      <c r="E195" s="6" t="s">
        <v>1828</v>
      </c>
      <c r="F195" s="6" t="s">
        <v>1829</v>
      </c>
      <c r="G195" s="2"/>
      <c r="H195" s="6"/>
    </row>
    <row r="196" ht="15.75" customHeight="1">
      <c r="A196" s="2" t="s">
        <v>1831</v>
      </c>
      <c r="B196" s="6" t="s">
        <v>1832</v>
      </c>
      <c r="C196" s="6" t="s">
        <v>1833</v>
      </c>
      <c r="D196" s="6" t="s">
        <v>37</v>
      </c>
      <c r="E196" s="6" t="s">
        <v>1835</v>
      </c>
      <c r="F196" s="6"/>
      <c r="G196" s="2" t="s">
        <v>916</v>
      </c>
      <c r="H196" s="6"/>
      <c r="I196" s="9" t="s">
        <v>1838</v>
      </c>
    </row>
    <row r="197" ht="15.75" customHeight="1">
      <c r="A197" s="2" t="s">
        <v>1840</v>
      </c>
      <c r="B197" s="6" t="s">
        <v>1832</v>
      </c>
      <c r="C197" s="6" t="s">
        <v>1833</v>
      </c>
      <c r="D197" s="6" t="s">
        <v>37</v>
      </c>
      <c r="E197" s="6" t="s">
        <v>1842</v>
      </c>
      <c r="F197" s="6" t="s">
        <v>1843</v>
      </c>
      <c r="G197" s="2" t="s">
        <v>1845</v>
      </c>
      <c r="H197" s="6"/>
      <c r="I197" s="9"/>
    </row>
    <row r="198" ht="15.75" customHeight="1">
      <c r="A198" s="2" t="s">
        <v>1847</v>
      </c>
      <c r="B198" s="6" t="s">
        <v>1849</v>
      </c>
      <c r="C198" s="6" t="s">
        <v>1850</v>
      </c>
      <c r="D198" s="6" t="s">
        <v>37</v>
      </c>
      <c r="E198" s="6" t="s">
        <v>1851</v>
      </c>
      <c r="F198" s="6" t="s">
        <v>1852</v>
      </c>
      <c r="G198" s="2"/>
      <c r="H198" s="6"/>
      <c r="I198" s="9" t="s">
        <v>1854</v>
      </c>
    </row>
    <row r="199" ht="15.75" customHeight="1">
      <c r="A199" s="2" t="s">
        <v>1856</v>
      </c>
      <c r="B199" s="6" t="s">
        <v>1858</v>
      </c>
      <c r="C199" s="6" t="s">
        <v>1859</v>
      </c>
      <c r="D199" s="6" t="s">
        <v>37</v>
      </c>
      <c r="E199" s="6" t="s">
        <v>1860</v>
      </c>
      <c r="F199" s="6" t="s">
        <v>1862</v>
      </c>
      <c r="G199" s="2"/>
      <c r="H199" s="6"/>
    </row>
    <row r="200" ht="15.75" customHeight="1">
      <c r="A200" s="2" t="s">
        <v>1864</v>
      </c>
      <c r="B200" s="6" t="s">
        <v>1422</v>
      </c>
      <c r="C200" s="6" t="s">
        <v>1424</v>
      </c>
      <c r="D200" s="6" t="s">
        <v>37</v>
      </c>
      <c r="E200" s="6" t="s">
        <v>1867</v>
      </c>
      <c r="F200" s="6"/>
      <c r="G200" s="2" t="s">
        <v>1868</v>
      </c>
      <c r="H200" s="6"/>
      <c r="I200" s="9" t="s">
        <v>1870</v>
      </c>
    </row>
    <row r="201" ht="15.75" customHeight="1">
      <c r="A201" s="2" t="s">
        <v>1871</v>
      </c>
      <c r="B201" s="6" t="s">
        <v>1422</v>
      </c>
      <c r="C201" s="6" t="s">
        <v>1424</v>
      </c>
      <c r="D201" s="6" t="s">
        <v>37</v>
      </c>
      <c r="E201" s="6" t="s">
        <v>1872</v>
      </c>
      <c r="F201" s="6" t="s">
        <v>1873</v>
      </c>
      <c r="G201" s="2"/>
      <c r="H201" s="6"/>
      <c r="I201" s="9" t="s">
        <v>1874</v>
      </c>
    </row>
    <row r="202" ht="15.75" customHeight="1">
      <c r="A202" s="2" t="s">
        <v>1875</v>
      </c>
      <c r="B202" s="6" t="s">
        <v>1422</v>
      </c>
      <c r="C202" s="22">
        <v>53000.0</v>
      </c>
      <c r="D202" s="6" t="s">
        <v>37</v>
      </c>
      <c r="E202" s="6" t="s">
        <v>1877</v>
      </c>
      <c r="F202" s="6" t="s">
        <v>1878</v>
      </c>
      <c r="G202" s="2" t="s">
        <v>1880</v>
      </c>
      <c r="H202" s="6"/>
      <c r="I202" s="9"/>
    </row>
    <row r="203" ht="15.75" customHeight="1">
      <c r="A203" s="2" t="s">
        <v>1875</v>
      </c>
      <c r="B203" s="6" t="s">
        <v>1422</v>
      </c>
      <c r="C203" s="22">
        <v>53000.0</v>
      </c>
      <c r="D203" s="6" t="s">
        <v>37</v>
      </c>
      <c r="E203" s="6" t="s">
        <v>1882</v>
      </c>
      <c r="F203" s="6"/>
      <c r="G203" s="2"/>
      <c r="H203" s="6"/>
      <c r="I203" s="9"/>
    </row>
    <row r="204" ht="15.75" customHeight="1">
      <c r="A204" s="2" t="s">
        <v>1883</v>
      </c>
      <c r="B204" s="6" t="s">
        <v>1884</v>
      </c>
      <c r="C204" s="6" t="s">
        <v>1885</v>
      </c>
      <c r="D204" s="6" t="s">
        <v>37</v>
      </c>
      <c r="E204" s="6" t="s">
        <v>1887</v>
      </c>
      <c r="F204" s="6" t="s">
        <v>1888</v>
      </c>
      <c r="G204" s="2"/>
      <c r="H204" s="6"/>
      <c r="I204" s="9" t="s">
        <v>1889</v>
      </c>
    </row>
    <row r="205" ht="15.75" customHeight="1">
      <c r="A205" s="2" t="s">
        <v>1890</v>
      </c>
      <c r="B205" s="6" t="s">
        <v>1891</v>
      </c>
      <c r="C205" s="6" t="s">
        <v>1892</v>
      </c>
      <c r="D205" s="6" t="s">
        <v>37</v>
      </c>
      <c r="E205" s="6" t="s">
        <v>1893</v>
      </c>
      <c r="F205" s="6" t="s">
        <v>1894</v>
      </c>
      <c r="G205" s="2"/>
      <c r="H205" s="6"/>
      <c r="I205" s="9" t="s">
        <v>1895</v>
      </c>
    </row>
    <row r="206" ht="15.75" customHeight="1">
      <c r="A206" s="2" t="s">
        <v>1896</v>
      </c>
      <c r="B206" s="6" t="s">
        <v>1897</v>
      </c>
      <c r="C206" s="6" t="s">
        <v>1898</v>
      </c>
      <c r="D206" s="6" t="s">
        <v>37</v>
      </c>
      <c r="E206" s="6" t="s">
        <v>1900</v>
      </c>
      <c r="F206" s="6"/>
      <c r="G206" s="2"/>
      <c r="H206" s="6" t="s">
        <v>1902</v>
      </c>
    </row>
    <row r="207" ht="15.75" customHeight="1">
      <c r="A207" s="2" t="s">
        <v>1904</v>
      </c>
      <c r="B207" s="6"/>
      <c r="C207" s="6"/>
      <c r="D207" s="6"/>
      <c r="E207" s="6" t="s">
        <v>1907</v>
      </c>
      <c r="F207" s="6"/>
      <c r="G207" s="2" t="s">
        <v>1909</v>
      </c>
      <c r="H207" s="21"/>
    </row>
    <row r="208" ht="15.75" customHeight="1">
      <c r="A208" s="2" t="s">
        <v>1912</v>
      </c>
      <c r="B208" s="6"/>
      <c r="C208" s="6"/>
      <c r="D208" s="6"/>
      <c r="E208" s="6" t="s">
        <v>1914</v>
      </c>
      <c r="F208" s="6"/>
      <c r="G208" s="2" t="s">
        <v>1916</v>
      </c>
      <c r="H208" s="21"/>
    </row>
    <row r="209" ht="15.75" customHeight="1">
      <c r="A209" s="20"/>
      <c r="B209" s="21"/>
      <c r="C209" s="21"/>
      <c r="D209" s="21"/>
      <c r="E209" s="21"/>
      <c r="F209" s="21"/>
      <c r="G209" s="20"/>
      <c r="H209" s="21"/>
    </row>
    <row r="210" ht="15.75" customHeight="1">
      <c r="A210" s="2" t="s">
        <v>1918</v>
      </c>
      <c r="B210" s="6" t="s">
        <v>1920</v>
      </c>
      <c r="C210" s="6" t="s">
        <v>1921</v>
      </c>
      <c r="D210" s="6" t="s">
        <v>47</v>
      </c>
      <c r="E210" s="6" t="s">
        <v>1922</v>
      </c>
      <c r="F210" s="6"/>
      <c r="G210" s="2"/>
      <c r="H210" s="6" t="s">
        <v>1923</v>
      </c>
    </row>
    <row r="211" ht="15.75" customHeight="1">
      <c r="A211" s="2" t="s">
        <v>1924</v>
      </c>
      <c r="B211" s="6" t="s">
        <v>1925</v>
      </c>
      <c r="C211" s="6" t="s">
        <v>1926</v>
      </c>
      <c r="D211" s="6" t="s">
        <v>47</v>
      </c>
      <c r="E211" s="6" t="s">
        <v>1927</v>
      </c>
      <c r="F211" s="6"/>
      <c r="G211" s="2"/>
      <c r="H211" s="6"/>
    </row>
    <row r="212" ht="15.75" customHeight="1">
      <c r="A212" s="2" t="s">
        <v>1928</v>
      </c>
      <c r="B212" s="6" t="s">
        <v>1925</v>
      </c>
      <c r="C212" s="6" t="s">
        <v>1926</v>
      </c>
      <c r="D212" s="6" t="s">
        <v>47</v>
      </c>
      <c r="E212" s="6" t="s">
        <v>1929</v>
      </c>
      <c r="F212" s="6"/>
      <c r="G212" s="2"/>
      <c r="H212" s="6"/>
      <c r="I212" s="9" t="s">
        <v>1930</v>
      </c>
    </row>
    <row r="213" ht="15.75" customHeight="1">
      <c r="A213" s="2" t="s">
        <v>1931</v>
      </c>
      <c r="B213" s="6" t="s">
        <v>1932</v>
      </c>
      <c r="C213" s="6" t="s">
        <v>1933</v>
      </c>
      <c r="D213" s="6" t="s">
        <v>47</v>
      </c>
      <c r="E213" s="6" t="s">
        <v>1934</v>
      </c>
      <c r="F213" s="6" t="s">
        <v>1935</v>
      </c>
      <c r="G213" s="2"/>
      <c r="H213" s="6"/>
    </row>
    <row r="214" ht="15.75" customHeight="1">
      <c r="A214" s="2" t="s">
        <v>1936</v>
      </c>
      <c r="B214" s="6" t="s">
        <v>1937</v>
      </c>
      <c r="C214" s="6" t="s">
        <v>1938</v>
      </c>
      <c r="D214" s="6" t="s">
        <v>47</v>
      </c>
      <c r="E214" s="6" t="s">
        <v>1939</v>
      </c>
      <c r="F214" s="6" t="s">
        <v>1940</v>
      </c>
      <c r="G214" s="2"/>
      <c r="H214" s="6" t="s">
        <v>1941</v>
      </c>
      <c r="I214" s="9" t="s">
        <v>1942</v>
      </c>
    </row>
    <row r="215" ht="15.75" customHeight="1">
      <c r="A215" s="2" t="s">
        <v>1875</v>
      </c>
      <c r="B215" s="6" t="s">
        <v>1945</v>
      </c>
      <c r="C215" s="6" t="s">
        <v>1946</v>
      </c>
      <c r="D215" s="6" t="s">
        <v>47</v>
      </c>
      <c r="E215" s="6" t="s">
        <v>1948</v>
      </c>
      <c r="F215" s="6"/>
      <c r="G215" s="2"/>
      <c r="H215" s="6"/>
    </row>
    <row r="216" ht="15.75" customHeight="1">
      <c r="A216" s="2" t="s">
        <v>1950</v>
      </c>
      <c r="B216" s="6" t="s">
        <v>1952</v>
      </c>
      <c r="C216" s="6" t="s">
        <v>1953</v>
      </c>
      <c r="D216" s="6" t="s">
        <v>47</v>
      </c>
      <c r="E216" s="6" t="s">
        <v>1954</v>
      </c>
      <c r="F216" s="6" t="s">
        <v>1955</v>
      </c>
      <c r="G216" s="2"/>
      <c r="H216" s="6" t="s">
        <v>1956</v>
      </c>
    </row>
    <row r="217" ht="15.75" customHeight="1">
      <c r="A217" s="2" t="s">
        <v>1957</v>
      </c>
      <c r="B217" s="6" t="s">
        <v>1958</v>
      </c>
      <c r="C217" s="6" t="s">
        <v>1959</v>
      </c>
      <c r="D217" s="6" t="s">
        <v>47</v>
      </c>
      <c r="E217" s="6" t="s">
        <v>1960</v>
      </c>
      <c r="F217" s="6" t="s">
        <v>1962</v>
      </c>
      <c r="G217" s="2"/>
      <c r="H217" s="6"/>
    </row>
    <row r="218" ht="15.75" customHeight="1">
      <c r="A218" s="2" t="s">
        <v>1957</v>
      </c>
      <c r="B218" s="6" t="s">
        <v>1958</v>
      </c>
      <c r="C218" s="6" t="s">
        <v>1959</v>
      </c>
      <c r="D218" s="6" t="s">
        <v>47</v>
      </c>
      <c r="E218" s="6" t="s">
        <v>1965</v>
      </c>
      <c r="F218" s="6"/>
      <c r="G218" s="2"/>
      <c r="H218" s="6"/>
    </row>
    <row r="219" ht="15.75" customHeight="1">
      <c r="A219" s="2" t="s">
        <v>1967</v>
      </c>
      <c r="B219" s="6" t="s">
        <v>1968</v>
      </c>
      <c r="C219" s="6" t="s">
        <v>1969</v>
      </c>
      <c r="D219" s="6" t="s">
        <v>47</v>
      </c>
      <c r="E219" s="6" t="s">
        <v>1970</v>
      </c>
      <c r="F219" s="6"/>
      <c r="G219" s="2"/>
      <c r="H219" s="6" t="s">
        <v>1971</v>
      </c>
      <c r="I219" s="9" t="s">
        <v>1972</v>
      </c>
    </row>
    <row r="220" ht="15.75" customHeight="1">
      <c r="A220" s="2" t="s">
        <v>1974</v>
      </c>
      <c r="B220" s="6" t="s">
        <v>1975</v>
      </c>
      <c r="C220" s="6" t="s">
        <v>1976</v>
      </c>
      <c r="D220" s="6" t="s">
        <v>47</v>
      </c>
      <c r="E220" s="6" t="s">
        <v>1977</v>
      </c>
      <c r="F220" s="6"/>
      <c r="G220" s="2"/>
      <c r="H220" s="6"/>
      <c r="I220" s="9" t="s">
        <v>1978</v>
      </c>
    </row>
    <row r="221" ht="15.75" customHeight="1">
      <c r="A221" s="2" t="s">
        <v>1979</v>
      </c>
      <c r="B221" s="6" t="s">
        <v>1975</v>
      </c>
      <c r="C221" s="22">
        <v>85800.0</v>
      </c>
      <c r="D221" s="6" t="s">
        <v>47</v>
      </c>
      <c r="E221" s="6" t="s">
        <v>1980</v>
      </c>
      <c r="F221" s="6" t="s">
        <v>1981</v>
      </c>
      <c r="G221" s="2" t="s">
        <v>1982</v>
      </c>
      <c r="H221" s="6" t="s">
        <v>1983</v>
      </c>
      <c r="I221" s="9"/>
    </row>
    <row r="222" ht="15.75" customHeight="1">
      <c r="A222" s="2" t="s">
        <v>1984</v>
      </c>
      <c r="B222" s="6" t="s">
        <v>1985</v>
      </c>
      <c r="C222" s="6" t="s">
        <v>1986</v>
      </c>
      <c r="D222" s="6" t="s">
        <v>47</v>
      </c>
      <c r="E222" s="6" t="s">
        <v>1987</v>
      </c>
      <c r="F222" s="6"/>
      <c r="G222" s="2" t="s">
        <v>1988</v>
      </c>
      <c r="H222" s="6"/>
      <c r="I222" s="9" t="s">
        <v>1989</v>
      </c>
    </row>
    <row r="223" ht="15.75" customHeight="1">
      <c r="A223" s="2" t="s">
        <v>1990</v>
      </c>
      <c r="B223" s="6" t="s">
        <v>1985</v>
      </c>
      <c r="C223" s="22">
        <v>85160.0</v>
      </c>
      <c r="D223" s="6" t="s">
        <v>47</v>
      </c>
      <c r="E223" s="6" t="s">
        <v>1993</v>
      </c>
      <c r="F223" s="6" t="s">
        <v>1994</v>
      </c>
      <c r="G223" s="2" t="s">
        <v>1202</v>
      </c>
      <c r="H223" s="6" t="s">
        <v>1995</v>
      </c>
    </row>
    <row r="224" ht="15.75" customHeight="1">
      <c r="A224" s="2" t="s">
        <v>1996</v>
      </c>
      <c r="B224" s="6" t="s">
        <v>1997</v>
      </c>
      <c r="C224" s="6" t="s">
        <v>1998</v>
      </c>
      <c r="D224" s="6" t="s">
        <v>47</v>
      </c>
      <c r="E224" s="6" t="s">
        <v>1999</v>
      </c>
      <c r="F224" s="6" t="s">
        <v>2000</v>
      </c>
      <c r="G224" s="2"/>
      <c r="H224" s="6"/>
    </row>
    <row r="225" ht="15.75" customHeight="1">
      <c r="A225" s="2" t="s">
        <v>2003</v>
      </c>
      <c r="B225" s="6" t="s">
        <v>2004</v>
      </c>
      <c r="C225" s="6" t="s">
        <v>1921</v>
      </c>
      <c r="D225" s="6" t="s">
        <v>47</v>
      </c>
      <c r="E225" s="6" t="s">
        <v>2007</v>
      </c>
      <c r="F225" s="6"/>
      <c r="G225" s="2"/>
      <c r="H225" s="6"/>
    </row>
    <row r="226" ht="15.75" customHeight="1">
      <c r="A226" s="2" t="s">
        <v>2009</v>
      </c>
      <c r="B226" s="6" t="s">
        <v>2010</v>
      </c>
      <c r="C226" s="6" t="s">
        <v>2011</v>
      </c>
      <c r="D226" s="6" t="s">
        <v>47</v>
      </c>
      <c r="E226" s="6" t="s">
        <v>2013</v>
      </c>
      <c r="F226" s="6"/>
      <c r="G226" s="2"/>
      <c r="H226" s="6"/>
    </row>
    <row r="227" ht="15.75" customHeight="1">
      <c r="A227" s="35" t="s">
        <v>2015</v>
      </c>
      <c r="B227" s="36" t="s">
        <v>2016</v>
      </c>
      <c r="C227" s="37">
        <v>85000.0</v>
      </c>
      <c r="D227" s="6" t="s">
        <v>47</v>
      </c>
      <c r="E227" s="36" t="s">
        <v>2017</v>
      </c>
      <c r="F227" s="36" t="s">
        <v>2018</v>
      </c>
      <c r="G227" s="35" t="s">
        <v>1519</v>
      </c>
      <c r="H227" s="36" t="s">
        <v>2019</v>
      </c>
    </row>
    <row r="228" ht="15.75" customHeight="1">
      <c r="A228" s="35" t="s">
        <v>2020</v>
      </c>
      <c r="B228" s="36" t="s">
        <v>2021</v>
      </c>
      <c r="C228" s="37">
        <v>85000.0</v>
      </c>
      <c r="D228" s="6" t="s">
        <v>47</v>
      </c>
      <c r="E228" s="36" t="s">
        <v>2023</v>
      </c>
      <c r="F228" s="36" t="s">
        <v>2024</v>
      </c>
      <c r="G228" s="35" t="s">
        <v>2025</v>
      </c>
      <c r="H228" s="36"/>
    </row>
    <row r="229" ht="15.75" customHeight="1">
      <c r="A229" s="35" t="s">
        <v>2026</v>
      </c>
      <c r="B229" s="36" t="s">
        <v>2027</v>
      </c>
      <c r="C229" s="37">
        <v>85130.0</v>
      </c>
      <c r="D229" s="6" t="s">
        <v>47</v>
      </c>
      <c r="E229" s="36" t="s">
        <v>2029</v>
      </c>
      <c r="F229" s="36" t="s">
        <v>2031</v>
      </c>
      <c r="G229" s="35" t="s">
        <v>2032</v>
      </c>
      <c r="H229" s="36"/>
    </row>
    <row r="230" ht="15.75" customHeight="1">
      <c r="A230" s="35" t="s">
        <v>2034</v>
      </c>
      <c r="B230" s="36" t="s">
        <v>2035</v>
      </c>
      <c r="C230" s="37">
        <v>85350.0</v>
      </c>
      <c r="D230" s="6" t="s">
        <v>47</v>
      </c>
      <c r="E230" s="36" t="s">
        <v>2037</v>
      </c>
      <c r="F230" s="36" t="s">
        <v>2038</v>
      </c>
      <c r="G230" s="35" t="s">
        <v>2040</v>
      </c>
      <c r="H230" s="36" t="s">
        <v>2041</v>
      </c>
    </row>
    <row r="231" ht="15.75" customHeight="1">
      <c r="A231" s="35" t="s">
        <v>2044</v>
      </c>
      <c r="B231" s="36" t="s">
        <v>2045</v>
      </c>
      <c r="C231" s="37">
        <v>85600.0</v>
      </c>
      <c r="D231" s="6" t="s">
        <v>47</v>
      </c>
      <c r="E231" s="36" t="s">
        <v>2047</v>
      </c>
      <c r="F231" s="36" t="s">
        <v>2048</v>
      </c>
      <c r="G231" s="35" t="s">
        <v>2049</v>
      </c>
      <c r="H231" s="36"/>
    </row>
    <row r="232" ht="15.75" customHeight="1">
      <c r="A232" s="35" t="s">
        <v>2051</v>
      </c>
      <c r="B232" s="36" t="s">
        <v>2052</v>
      </c>
      <c r="C232" s="37">
        <v>85600.0</v>
      </c>
      <c r="D232" s="6" t="s">
        <v>47</v>
      </c>
      <c r="E232" s="36" t="s">
        <v>2056</v>
      </c>
      <c r="F232" s="36" t="s">
        <v>2057</v>
      </c>
      <c r="G232" s="35" t="s">
        <v>1519</v>
      </c>
      <c r="H232" s="36"/>
    </row>
    <row r="233" ht="15.75" customHeight="1">
      <c r="A233" s="35" t="s">
        <v>2061</v>
      </c>
      <c r="B233" s="36" t="s">
        <v>2064</v>
      </c>
      <c r="C233" s="37">
        <v>85560.0</v>
      </c>
      <c r="D233" s="6" t="s">
        <v>47</v>
      </c>
      <c r="E233" s="36" t="s">
        <v>2067</v>
      </c>
      <c r="F233" s="36" t="s">
        <v>2068</v>
      </c>
      <c r="G233" s="35" t="s">
        <v>608</v>
      </c>
      <c r="H233" s="36"/>
    </row>
    <row r="234" ht="15.75" customHeight="1">
      <c r="A234" s="35" t="s">
        <v>2073</v>
      </c>
      <c r="B234" s="36" t="s">
        <v>2074</v>
      </c>
      <c r="C234" s="37">
        <v>85340.0</v>
      </c>
      <c r="D234" s="6" t="s">
        <v>47</v>
      </c>
      <c r="E234" s="36" t="s">
        <v>2075</v>
      </c>
      <c r="F234" s="36" t="s">
        <v>2076</v>
      </c>
      <c r="G234" s="35" t="s">
        <v>2077</v>
      </c>
      <c r="H234" s="36" t="s">
        <v>2079</v>
      </c>
    </row>
    <row r="235" ht="15.75" customHeight="1">
      <c r="A235" s="35" t="s">
        <v>2081</v>
      </c>
      <c r="B235" s="36" t="s">
        <v>2082</v>
      </c>
      <c r="C235" s="37">
        <v>85120.0</v>
      </c>
      <c r="D235" s="6" t="s">
        <v>47</v>
      </c>
      <c r="E235" s="36" t="s">
        <v>2083</v>
      </c>
      <c r="F235" s="36" t="s">
        <v>2084</v>
      </c>
      <c r="G235" s="38" t="s">
        <v>2086</v>
      </c>
      <c r="H235" s="36" t="s">
        <v>2087</v>
      </c>
    </row>
    <row r="236" ht="15.75" customHeight="1">
      <c r="A236" s="20"/>
      <c r="B236" s="21"/>
      <c r="C236" s="21"/>
      <c r="D236" s="21"/>
      <c r="E236" s="21"/>
      <c r="F236" s="21"/>
      <c r="G236" s="20"/>
      <c r="H236" s="21"/>
    </row>
    <row r="237" ht="15.75" customHeight="1">
      <c r="A237" s="2" t="s">
        <v>2089</v>
      </c>
      <c r="B237" s="6"/>
      <c r="C237" s="6"/>
      <c r="D237" s="6" t="s">
        <v>42</v>
      </c>
      <c r="E237" s="6" t="s">
        <v>2091</v>
      </c>
      <c r="F237" s="6" t="s">
        <v>2092</v>
      </c>
      <c r="G237" s="2"/>
      <c r="H237" s="6" t="s">
        <v>2093</v>
      </c>
    </row>
    <row r="238" ht="15.75" customHeight="1">
      <c r="A238" s="2" t="s">
        <v>2094</v>
      </c>
      <c r="B238" s="6"/>
      <c r="C238" s="6"/>
      <c r="D238" s="6" t="s">
        <v>42</v>
      </c>
      <c r="E238" s="6" t="s">
        <v>2095</v>
      </c>
      <c r="F238" s="6" t="s">
        <v>2096</v>
      </c>
      <c r="G238" s="2"/>
      <c r="H238" s="6" t="s">
        <v>2097</v>
      </c>
    </row>
    <row r="239" ht="15.75" customHeight="1">
      <c r="A239" s="2" t="s">
        <v>2098</v>
      </c>
      <c r="B239" s="6"/>
      <c r="C239" s="6"/>
      <c r="D239" s="6" t="s">
        <v>42</v>
      </c>
      <c r="E239" s="6" t="s">
        <v>2099</v>
      </c>
      <c r="F239" s="6" t="s">
        <v>2100</v>
      </c>
      <c r="G239" s="2"/>
      <c r="H239" s="6" t="s">
        <v>2102</v>
      </c>
    </row>
    <row r="240" ht="15.75" customHeight="1">
      <c r="A240" s="11" t="s">
        <v>2103</v>
      </c>
      <c r="B240" s="6" t="s">
        <v>2104</v>
      </c>
      <c r="C240" s="6" t="s">
        <v>2105</v>
      </c>
      <c r="D240" s="6" t="s">
        <v>42</v>
      </c>
      <c r="E240" s="6" t="s">
        <v>2106</v>
      </c>
      <c r="F240" s="6"/>
      <c r="G240" s="2"/>
      <c r="H240" s="6"/>
    </row>
    <row r="241" ht="15.75" customHeight="1">
      <c r="A241" s="2" t="s">
        <v>2107</v>
      </c>
      <c r="B241" s="6" t="s">
        <v>2108</v>
      </c>
      <c r="C241" s="6" t="s">
        <v>2109</v>
      </c>
      <c r="D241" s="6" t="s">
        <v>42</v>
      </c>
      <c r="E241" s="6" t="s">
        <v>2110</v>
      </c>
      <c r="F241" s="6" t="s">
        <v>2111</v>
      </c>
      <c r="G241" s="2" t="s">
        <v>2112</v>
      </c>
      <c r="H241" s="6" t="s">
        <v>2113</v>
      </c>
      <c r="I241" s="9" t="s">
        <v>70</v>
      </c>
    </row>
    <row r="242" ht="15.75" customHeight="1">
      <c r="A242" s="2" t="s">
        <v>2114</v>
      </c>
      <c r="B242" s="6" t="s">
        <v>2115</v>
      </c>
      <c r="C242" s="6" t="s">
        <v>2116</v>
      </c>
      <c r="D242" s="6" t="s">
        <v>42</v>
      </c>
      <c r="E242" s="6" t="s">
        <v>2117</v>
      </c>
      <c r="F242" s="6"/>
      <c r="G242" s="2" t="s">
        <v>2118</v>
      </c>
      <c r="H242" s="6"/>
      <c r="I242" s="9" t="s">
        <v>70</v>
      </c>
    </row>
    <row r="243" ht="15.75" customHeight="1">
      <c r="A243" s="2" t="s">
        <v>2119</v>
      </c>
      <c r="B243" s="6" t="s">
        <v>2115</v>
      </c>
      <c r="C243" s="6" t="s">
        <v>2116</v>
      </c>
      <c r="D243" s="6" t="s">
        <v>42</v>
      </c>
      <c r="E243" s="6" t="s">
        <v>2120</v>
      </c>
      <c r="F243" s="39" t="s">
        <v>2121</v>
      </c>
      <c r="G243" s="2"/>
      <c r="H243" s="6"/>
    </row>
    <row r="244" ht="15.75" customHeight="1">
      <c r="A244" s="2" t="s">
        <v>2122</v>
      </c>
      <c r="B244" s="6" t="s">
        <v>2123</v>
      </c>
      <c r="C244" s="6" t="s">
        <v>2124</v>
      </c>
      <c r="D244" s="6" t="s">
        <v>42</v>
      </c>
      <c r="E244" s="6" t="s">
        <v>2125</v>
      </c>
      <c r="F244" s="6">
        <v>6.64760439E8</v>
      </c>
      <c r="G244" s="2"/>
      <c r="H244" s="6"/>
    </row>
    <row r="245" ht="15.75" customHeight="1">
      <c r="A245" s="2" t="s">
        <v>2126</v>
      </c>
      <c r="B245" s="6" t="s">
        <v>2123</v>
      </c>
      <c r="C245" s="6" t="s">
        <v>2124</v>
      </c>
      <c r="D245" s="6" t="s">
        <v>42</v>
      </c>
      <c r="E245" s="6" t="s">
        <v>2127</v>
      </c>
      <c r="F245" s="6"/>
      <c r="G245" s="2"/>
      <c r="H245" s="6"/>
      <c r="I245" s="9" t="s">
        <v>2128</v>
      </c>
    </row>
    <row r="246" ht="15.75" customHeight="1">
      <c r="A246" s="2" t="s">
        <v>2131</v>
      </c>
      <c r="B246" s="6" t="s">
        <v>2132</v>
      </c>
      <c r="C246" s="6" t="s">
        <v>2133</v>
      </c>
      <c r="D246" s="6" t="s">
        <v>42</v>
      </c>
      <c r="E246" s="6" t="s">
        <v>2134</v>
      </c>
      <c r="F246" s="6"/>
      <c r="G246" s="2"/>
      <c r="H246" s="6"/>
      <c r="I246" s="9" t="s">
        <v>2135</v>
      </c>
    </row>
    <row r="247" ht="15.75" customHeight="1">
      <c r="A247" s="2" t="s">
        <v>2137</v>
      </c>
      <c r="B247" s="6" t="s">
        <v>2138</v>
      </c>
      <c r="C247" s="6" t="s">
        <v>2139</v>
      </c>
      <c r="D247" s="6" t="s">
        <v>42</v>
      </c>
      <c r="E247" s="6" t="s">
        <v>2140</v>
      </c>
      <c r="F247" s="6"/>
      <c r="G247" s="2"/>
      <c r="H247" s="6" t="s">
        <v>2141</v>
      </c>
    </row>
    <row r="248" ht="15.75" customHeight="1">
      <c r="A248" s="2" t="s">
        <v>2143</v>
      </c>
      <c r="B248" s="6" t="s">
        <v>2144</v>
      </c>
      <c r="C248" s="6" t="s">
        <v>2145</v>
      </c>
      <c r="D248" s="6" t="s">
        <v>42</v>
      </c>
      <c r="E248" s="6" t="s">
        <v>2146</v>
      </c>
      <c r="F248" s="6"/>
      <c r="G248" s="2"/>
      <c r="H248" s="6"/>
      <c r="I248" s="9" t="s">
        <v>1989</v>
      </c>
    </row>
    <row r="249" ht="15.75" customHeight="1">
      <c r="A249" s="2" t="s">
        <v>2148</v>
      </c>
      <c r="B249" s="6" t="s">
        <v>2150</v>
      </c>
      <c r="C249" s="6" t="s">
        <v>2151</v>
      </c>
      <c r="D249" s="6" t="s">
        <v>42</v>
      </c>
      <c r="E249" s="6" t="s">
        <v>2152</v>
      </c>
      <c r="F249" s="6"/>
      <c r="G249" s="2"/>
      <c r="H249" s="6"/>
      <c r="I249" s="9" t="s">
        <v>2154</v>
      </c>
    </row>
    <row r="250" ht="15.75" customHeight="1">
      <c r="A250" s="2" t="s">
        <v>2155</v>
      </c>
      <c r="B250" s="6" t="s">
        <v>2156</v>
      </c>
      <c r="C250" s="6" t="s">
        <v>2157</v>
      </c>
      <c r="D250" s="6" t="s">
        <v>42</v>
      </c>
      <c r="E250" s="6" t="s">
        <v>2158</v>
      </c>
      <c r="F250" s="6" t="s">
        <v>2160</v>
      </c>
      <c r="G250" s="2"/>
      <c r="H250" s="6"/>
    </row>
    <row r="251" ht="15.75" customHeight="1">
      <c r="A251" s="2" t="s">
        <v>2162</v>
      </c>
      <c r="B251" s="6" t="s">
        <v>2156</v>
      </c>
      <c r="C251" s="6" t="s">
        <v>2157</v>
      </c>
      <c r="D251" s="6" t="s">
        <v>42</v>
      </c>
      <c r="E251" s="6" t="s">
        <v>2163</v>
      </c>
      <c r="F251" s="6"/>
      <c r="G251" s="2"/>
      <c r="H251" s="6"/>
      <c r="I251" s="9" t="s">
        <v>2165</v>
      </c>
    </row>
    <row r="252" ht="15.75" customHeight="1">
      <c r="A252" s="2" t="s">
        <v>2167</v>
      </c>
      <c r="B252" s="6" t="s">
        <v>2156</v>
      </c>
      <c r="C252" s="6" t="s">
        <v>2157</v>
      </c>
      <c r="D252" s="6" t="s">
        <v>42</v>
      </c>
      <c r="E252" s="6" t="s">
        <v>2168</v>
      </c>
      <c r="F252" s="6" t="s">
        <v>2169</v>
      </c>
      <c r="G252" s="2"/>
      <c r="H252" s="6" t="s">
        <v>2170</v>
      </c>
      <c r="I252" s="9" t="s">
        <v>2171</v>
      </c>
    </row>
    <row r="253" ht="15.75" customHeight="1">
      <c r="A253" s="11" t="s">
        <v>2174</v>
      </c>
      <c r="B253" s="6" t="s">
        <v>2156</v>
      </c>
      <c r="C253" s="6" t="s">
        <v>2157</v>
      </c>
      <c r="D253" s="6" t="s">
        <v>42</v>
      </c>
      <c r="E253" s="6" t="s">
        <v>2176</v>
      </c>
      <c r="F253" s="6"/>
      <c r="G253" s="2"/>
      <c r="H253" s="6" t="s">
        <v>2178</v>
      </c>
    </row>
    <row r="254" ht="15.75" customHeight="1">
      <c r="A254" s="2" t="s">
        <v>2180</v>
      </c>
      <c r="B254" s="6" t="s">
        <v>2181</v>
      </c>
      <c r="C254" s="6" t="s">
        <v>2182</v>
      </c>
      <c r="D254" s="6" t="s">
        <v>42</v>
      </c>
      <c r="E254" s="6" t="s">
        <v>2184</v>
      </c>
      <c r="F254" s="6" t="s">
        <v>2185</v>
      </c>
      <c r="G254" s="2" t="s">
        <v>2187</v>
      </c>
      <c r="H254" s="6"/>
    </row>
    <row r="255" ht="15.75" customHeight="1">
      <c r="A255" s="2" t="s">
        <v>2190</v>
      </c>
      <c r="B255" s="6" t="s">
        <v>2191</v>
      </c>
      <c r="C255" s="6" t="s">
        <v>2192</v>
      </c>
      <c r="D255" s="6" t="s">
        <v>42</v>
      </c>
      <c r="E255" s="6" t="s">
        <v>2194</v>
      </c>
      <c r="F255" s="6" t="s">
        <v>2160</v>
      </c>
      <c r="G255" s="2"/>
      <c r="H255" s="6"/>
    </row>
    <row r="256" ht="15.75" customHeight="1">
      <c r="A256" s="2" t="s">
        <v>2195</v>
      </c>
      <c r="B256" s="6" t="s">
        <v>2191</v>
      </c>
      <c r="C256" s="6" t="s">
        <v>2192</v>
      </c>
      <c r="D256" s="6" t="s">
        <v>42</v>
      </c>
      <c r="E256" s="6" t="s">
        <v>2197</v>
      </c>
      <c r="F256" s="6"/>
      <c r="G256" s="2" t="s">
        <v>2198</v>
      </c>
      <c r="H256" s="6"/>
      <c r="I256" s="9" t="s">
        <v>70</v>
      </c>
    </row>
    <row r="257" ht="15.75" customHeight="1">
      <c r="A257" s="2" t="s">
        <v>2200</v>
      </c>
      <c r="B257" s="6" t="s">
        <v>2201</v>
      </c>
      <c r="C257" s="6" t="s">
        <v>2202</v>
      </c>
      <c r="D257" s="6" t="s">
        <v>42</v>
      </c>
      <c r="E257" s="6" t="s">
        <v>2204</v>
      </c>
      <c r="F257" s="6" t="s">
        <v>2205</v>
      </c>
      <c r="G257" s="2" t="s">
        <v>2206</v>
      </c>
      <c r="H257" s="6"/>
      <c r="I257" s="9" t="s">
        <v>2208</v>
      </c>
    </row>
    <row r="258" ht="15.75" customHeight="1">
      <c r="A258" s="2" t="s">
        <v>2209</v>
      </c>
      <c r="B258" s="6" t="s">
        <v>2211</v>
      </c>
      <c r="C258" s="6" t="s">
        <v>2212</v>
      </c>
      <c r="D258" s="6" t="s">
        <v>42</v>
      </c>
      <c r="E258" s="6" t="s">
        <v>2213</v>
      </c>
      <c r="F258" s="6" t="s">
        <v>2215</v>
      </c>
      <c r="G258" s="2"/>
      <c r="H258" s="6"/>
      <c r="I258" s="9" t="s">
        <v>2216</v>
      </c>
    </row>
    <row r="259" ht="15.75" customHeight="1">
      <c r="A259" s="2" t="s">
        <v>2218</v>
      </c>
      <c r="B259" s="6" t="s">
        <v>2211</v>
      </c>
      <c r="C259" s="6">
        <v>56300.0</v>
      </c>
      <c r="D259" s="6" t="s">
        <v>42</v>
      </c>
      <c r="E259" s="6" t="s">
        <v>2221</v>
      </c>
      <c r="F259" s="6" t="s">
        <v>2222</v>
      </c>
      <c r="G259" s="2" t="s">
        <v>963</v>
      </c>
      <c r="H259" s="6"/>
      <c r="I259" s="9" t="s">
        <v>2225</v>
      </c>
    </row>
    <row r="260" ht="15.75" customHeight="1">
      <c r="A260" s="2" t="s">
        <v>2226</v>
      </c>
      <c r="B260" s="6" t="s">
        <v>2227</v>
      </c>
      <c r="C260" s="6" t="s">
        <v>2228</v>
      </c>
      <c r="D260" s="6" t="s">
        <v>42</v>
      </c>
      <c r="E260" s="6" t="s">
        <v>2230</v>
      </c>
      <c r="F260" s="6" t="s">
        <v>2231</v>
      </c>
      <c r="G260" s="2"/>
      <c r="H260" s="6"/>
      <c r="I260" s="9" t="s">
        <v>2233</v>
      </c>
    </row>
    <row r="261" ht="15.75" customHeight="1">
      <c r="A261" s="2" t="s">
        <v>2235</v>
      </c>
      <c r="B261" s="6" t="s">
        <v>2236</v>
      </c>
      <c r="C261" s="6" t="s">
        <v>2237</v>
      </c>
      <c r="D261" s="6" t="s">
        <v>42</v>
      </c>
      <c r="E261" s="6" t="s">
        <v>2239</v>
      </c>
      <c r="F261" s="6" t="s">
        <v>2240</v>
      </c>
      <c r="G261" s="2"/>
      <c r="H261" s="6"/>
      <c r="I261" s="9" t="s">
        <v>2171</v>
      </c>
    </row>
    <row r="262" ht="15.75" customHeight="1">
      <c r="A262" s="2" t="s">
        <v>2243</v>
      </c>
      <c r="B262" s="6" t="s">
        <v>2244</v>
      </c>
      <c r="C262" s="6" t="s">
        <v>2245</v>
      </c>
      <c r="D262" s="6" t="s">
        <v>42</v>
      </c>
      <c r="E262" s="6" t="s">
        <v>2247</v>
      </c>
      <c r="F262" s="6" t="s">
        <v>2248</v>
      </c>
      <c r="G262" s="2"/>
      <c r="H262" s="6"/>
      <c r="I262" s="9" t="s">
        <v>2251</v>
      </c>
    </row>
    <row r="263" ht="15.75" customHeight="1">
      <c r="A263" s="2" t="s">
        <v>2254</v>
      </c>
      <c r="B263" s="6" t="s">
        <v>2002</v>
      </c>
      <c r="C263" s="6" t="s">
        <v>2256</v>
      </c>
      <c r="D263" s="6" t="s">
        <v>42</v>
      </c>
      <c r="E263" s="6" t="s">
        <v>2257</v>
      </c>
      <c r="F263" s="6"/>
      <c r="G263" s="2" t="s">
        <v>2258</v>
      </c>
      <c r="H263" s="6"/>
    </row>
    <row r="264" ht="15.75" customHeight="1">
      <c r="A264" s="2" t="s">
        <v>2261</v>
      </c>
      <c r="B264" s="6" t="s">
        <v>2062</v>
      </c>
      <c r="C264" s="6" t="s">
        <v>2262</v>
      </c>
      <c r="D264" s="6" t="s">
        <v>42</v>
      </c>
      <c r="E264" s="6" t="s">
        <v>2264</v>
      </c>
      <c r="F264" s="6"/>
      <c r="G264" s="2"/>
      <c r="H264" s="6"/>
    </row>
    <row r="265" ht="15.75" customHeight="1">
      <c r="A265" s="2" t="s">
        <v>2265</v>
      </c>
      <c r="B265" s="6" t="s">
        <v>2062</v>
      </c>
      <c r="C265" s="6" t="s">
        <v>2262</v>
      </c>
      <c r="D265" s="6" t="s">
        <v>42</v>
      </c>
      <c r="E265" s="6" t="s">
        <v>2267</v>
      </c>
      <c r="F265" s="6" t="s">
        <v>2268</v>
      </c>
      <c r="G265" s="2"/>
      <c r="H265" s="6"/>
      <c r="I265" s="9" t="s">
        <v>2269</v>
      </c>
    </row>
    <row r="266" ht="15.75" customHeight="1">
      <c r="A266" s="2" t="s">
        <v>2272</v>
      </c>
      <c r="B266" s="6" t="s">
        <v>2062</v>
      </c>
      <c r="C266" s="6" t="s">
        <v>2262</v>
      </c>
      <c r="D266" s="6" t="s">
        <v>42</v>
      </c>
      <c r="E266" s="6" t="s">
        <v>2274</v>
      </c>
      <c r="F266" s="6" t="s">
        <v>2276</v>
      </c>
      <c r="G266" s="2"/>
      <c r="H266" s="6" t="s">
        <v>2278</v>
      </c>
      <c r="I266" s="9" t="s">
        <v>2279</v>
      </c>
    </row>
    <row r="267" ht="15.75" customHeight="1">
      <c r="A267" s="2" t="s">
        <v>2280</v>
      </c>
      <c r="B267" s="6" t="s">
        <v>2062</v>
      </c>
      <c r="C267" s="6" t="s">
        <v>2262</v>
      </c>
      <c r="D267" s="6" t="s">
        <v>42</v>
      </c>
      <c r="E267" s="6" t="s">
        <v>2283</v>
      </c>
      <c r="F267" s="6" t="s">
        <v>2284</v>
      </c>
      <c r="G267" s="2"/>
      <c r="H267" s="6"/>
      <c r="I267" s="9" t="s">
        <v>2285</v>
      </c>
    </row>
    <row r="268" ht="15.75" customHeight="1">
      <c r="A268" s="2" t="s">
        <v>2287</v>
      </c>
      <c r="B268" s="6" t="s">
        <v>2062</v>
      </c>
      <c r="C268" s="6" t="s">
        <v>2262</v>
      </c>
      <c r="D268" s="6" t="s">
        <v>42</v>
      </c>
      <c r="E268" s="6" t="s">
        <v>2290</v>
      </c>
      <c r="F268" s="6"/>
      <c r="G268" s="2"/>
      <c r="H268" s="6" t="s">
        <v>2292</v>
      </c>
      <c r="I268" s="9" t="s">
        <v>2293</v>
      </c>
    </row>
    <row r="269" ht="15.75" customHeight="1">
      <c r="A269" s="2" t="s">
        <v>2294</v>
      </c>
      <c r="B269" s="6" t="s">
        <v>2062</v>
      </c>
      <c r="C269" s="6" t="s">
        <v>2262</v>
      </c>
      <c r="D269" s="6" t="s">
        <v>42</v>
      </c>
      <c r="E269" s="6" t="s">
        <v>2296</v>
      </c>
      <c r="F269" s="6"/>
      <c r="G269" s="2" t="s">
        <v>2297</v>
      </c>
      <c r="H269" s="6"/>
      <c r="I269" s="9" t="s">
        <v>2299</v>
      </c>
    </row>
    <row r="270" ht="15.75" customHeight="1">
      <c r="A270" s="2" t="s">
        <v>300</v>
      </c>
      <c r="B270" s="6" t="s">
        <v>2062</v>
      </c>
      <c r="C270" s="6" t="s">
        <v>2262</v>
      </c>
      <c r="D270" s="6" t="s">
        <v>42</v>
      </c>
      <c r="E270" s="6" t="s">
        <v>2301</v>
      </c>
      <c r="F270" s="40" t="s">
        <v>2303</v>
      </c>
      <c r="G270" s="2"/>
      <c r="H270" s="6"/>
      <c r="I270" s="9" t="s">
        <v>2305</v>
      </c>
    </row>
    <row r="271" ht="15.75" customHeight="1">
      <c r="A271" s="2" t="s">
        <v>603</v>
      </c>
      <c r="B271" s="6" t="s">
        <v>2062</v>
      </c>
      <c r="C271" s="6">
        <v>56000.0</v>
      </c>
      <c r="D271" s="6" t="s">
        <v>42</v>
      </c>
      <c r="E271" s="6" t="s">
        <v>2309</v>
      </c>
      <c r="F271" s="6" t="s">
        <v>2310</v>
      </c>
      <c r="G271" s="2"/>
      <c r="H271" s="6"/>
    </row>
    <row r="272" ht="15.75" customHeight="1">
      <c r="A272" s="2" t="s">
        <v>2312</v>
      </c>
      <c r="B272" s="6" t="s">
        <v>2313</v>
      </c>
      <c r="C272" s="6" t="s">
        <v>2314</v>
      </c>
      <c r="D272" s="6" t="s">
        <v>42</v>
      </c>
      <c r="E272" s="6" t="s">
        <v>2316</v>
      </c>
      <c r="F272" s="41" t="s">
        <v>2319</v>
      </c>
      <c r="G272" s="2"/>
      <c r="H272" s="6"/>
      <c r="I272" s="9" t="s">
        <v>2321</v>
      </c>
    </row>
    <row r="273" ht="15.75" customHeight="1">
      <c r="A273" s="2" t="s">
        <v>2323</v>
      </c>
      <c r="B273" s="6" t="s">
        <v>2324</v>
      </c>
      <c r="C273" s="6">
        <v>56190.0</v>
      </c>
      <c r="D273" s="6" t="s">
        <v>42</v>
      </c>
      <c r="E273" s="6" t="s">
        <v>2327</v>
      </c>
      <c r="F273" s="6"/>
      <c r="G273" s="2" t="s">
        <v>2330</v>
      </c>
    </row>
    <row r="274" ht="15.75" customHeight="1">
      <c r="A274" s="2" t="s">
        <v>2331</v>
      </c>
      <c r="B274" s="6" t="s">
        <v>2333</v>
      </c>
      <c r="C274" s="6">
        <v>56390.0</v>
      </c>
      <c r="D274" s="6" t="s">
        <v>42</v>
      </c>
      <c r="E274" s="6" t="s">
        <v>2335</v>
      </c>
      <c r="F274" s="6"/>
      <c r="G274" s="2" t="s">
        <v>2336</v>
      </c>
    </row>
    <row r="275" ht="15.75" customHeight="1">
      <c r="A275" s="2" t="s">
        <v>2338</v>
      </c>
      <c r="B275" s="6" t="s">
        <v>2062</v>
      </c>
      <c r="C275" s="6">
        <v>56000.0</v>
      </c>
      <c r="D275" s="6" t="s">
        <v>42</v>
      </c>
      <c r="E275" s="6" t="s">
        <v>2339</v>
      </c>
      <c r="F275" s="6"/>
      <c r="G275" s="2" t="s">
        <v>68</v>
      </c>
    </row>
    <row r="276" ht="15.75" customHeight="1">
      <c r="A276" s="2" t="s">
        <v>2342</v>
      </c>
      <c r="B276" s="6" t="s">
        <v>2343</v>
      </c>
      <c r="C276" s="6">
        <v>56130.0</v>
      </c>
      <c r="D276" s="6" t="s">
        <v>42</v>
      </c>
      <c r="E276" s="42" t="s">
        <v>2345</v>
      </c>
      <c r="F276" s="6"/>
      <c r="G276" s="2" t="s">
        <v>2372</v>
      </c>
    </row>
    <row r="277" ht="15.75" customHeight="1">
      <c r="A277" s="2" t="s">
        <v>2374</v>
      </c>
      <c r="B277" s="6" t="s">
        <v>2002</v>
      </c>
      <c r="C277" s="6">
        <v>56450.0</v>
      </c>
      <c r="D277" s="6" t="s">
        <v>42</v>
      </c>
      <c r="E277" s="6" t="s">
        <v>2378</v>
      </c>
      <c r="F277" s="6"/>
      <c r="G277" s="2" t="s">
        <v>2380</v>
      </c>
    </row>
    <row r="278" ht="15.75" customHeight="1">
      <c r="A278" s="2" t="s">
        <v>2382</v>
      </c>
      <c r="B278" s="6" t="s">
        <v>2383</v>
      </c>
      <c r="C278" s="6">
        <v>56260.0</v>
      </c>
      <c r="D278" s="6" t="s">
        <v>42</v>
      </c>
      <c r="E278" s="42" t="s">
        <v>2386</v>
      </c>
      <c r="F278" s="6"/>
      <c r="G278" s="2" t="s">
        <v>2400</v>
      </c>
    </row>
    <row r="279" ht="15.75" customHeight="1">
      <c r="A279" s="2" t="s">
        <v>2403</v>
      </c>
      <c r="B279" s="6" t="s">
        <v>2156</v>
      </c>
      <c r="C279" s="6">
        <v>56100.0</v>
      </c>
      <c r="D279" s="6" t="s">
        <v>42</v>
      </c>
      <c r="E279" s="42" t="s">
        <v>2405</v>
      </c>
      <c r="F279" s="6"/>
      <c r="G279" s="2" t="s">
        <v>2418</v>
      </c>
    </row>
    <row r="280" ht="15.75" customHeight="1">
      <c r="A280" s="2" t="s">
        <v>2420</v>
      </c>
      <c r="B280" s="6" t="s">
        <v>2421</v>
      </c>
      <c r="C280" s="6">
        <v>56140.0</v>
      </c>
      <c r="D280" s="6" t="s">
        <v>42</v>
      </c>
      <c r="E280" s="42" t="s">
        <v>2424</v>
      </c>
      <c r="F280" s="6"/>
      <c r="G280" s="2" t="s">
        <v>608</v>
      </c>
    </row>
    <row r="281" ht="15.75" customHeight="1">
      <c r="A281" s="2" t="s">
        <v>2436</v>
      </c>
      <c r="B281" s="6" t="s">
        <v>2437</v>
      </c>
      <c r="C281" s="6">
        <v>56230.0</v>
      </c>
      <c r="D281" s="6" t="s">
        <v>42</v>
      </c>
      <c r="E281" s="42" t="s">
        <v>2441</v>
      </c>
      <c r="F281" s="6"/>
      <c r="G281" s="2" t="s">
        <v>68</v>
      </c>
    </row>
    <row r="282" ht="15.75" customHeight="1">
      <c r="A282" s="2" t="s">
        <v>2446</v>
      </c>
      <c r="B282" s="6" t="s">
        <v>2447</v>
      </c>
      <c r="C282" s="6">
        <v>56500.0</v>
      </c>
      <c r="D282" s="6" t="s">
        <v>42</v>
      </c>
      <c r="E282" s="6" t="s">
        <v>2448</v>
      </c>
      <c r="F282" s="6"/>
      <c r="G282" s="2" t="s">
        <v>1519</v>
      </c>
    </row>
    <row r="283" ht="15.75" customHeight="1">
      <c r="A283" s="2"/>
      <c r="B283" s="6"/>
      <c r="C283" s="6"/>
      <c r="D283" s="6"/>
      <c r="E283" s="6"/>
      <c r="F283" s="6"/>
      <c r="G283" s="2"/>
    </row>
    <row r="284" ht="15.75" customHeight="1">
      <c r="A284" s="2"/>
      <c r="B284" s="6"/>
      <c r="C284" s="6"/>
      <c r="D284" s="6"/>
      <c r="E284" s="6"/>
      <c r="F284" s="6"/>
      <c r="G284" s="2"/>
    </row>
    <row r="285" ht="15.75" customHeight="1">
      <c r="A285" s="34"/>
      <c r="G285" s="43"/>
    </row>
    <row r="286" ht="15.75" customHeight="1">
      <c r="A286" s="2" t="s">
        <v>2453</v>
      </c>
      <c r="B286" s="2" t="s">
        <v>2454</v>
      </c>
      <c r="C286" s="2">
        <v>22600.0</v>
      </c>
      <c r="D286" s="2" t="s">
        <v>2455</v>
      </c>
      <c r="E286" s="2" t="s">
        <v>2456</v>
      </c>
      <c r="F286" s="2" t="s">
        <v>2457</v>
      </c>
      <c r="G286" s="2" t="s">
        <v>747</v>
      </c>
      <c r="H286" s="9" t="s">
        <v>2460</v>
      </c>
    </row>
    <row r="287" ht="15.75" customHeight="1">
      <c r="A287" s="34"/>
      <c r="G287" s="43"/>
    </row>
    <row r="288" ht="15.75" customHeight="1">
      <c r="A288" s="34"/>
      <c r="G288" s="43"/>
    </row>
    <row r="289" ht="15.75" customHeight="1">
      <c r="A289" s="34"/>
      <c r="G289" s="43"/>
    </row>
    <row r="290" ht="15.75" customHeight="1">
      <c r="A290" s="34"/>
      <c r="G290" s="43"/>
    </row>
    <row r="291" ht="15.75" customHeight="1">
      <c r="A291" s="34"/>
      <c r="G291" s="43"/>
    </row>
    <row r="292" ht="15.75" customHeight="1">
      <c r="A292" s="34"/>
      <c r="G292" s="43"/>
    </row>
    <row r="293" ht="15.75" customHeight="1">
      <c r="A293" s="34"/>
      <c r="G293" s="43"/>
    </row>
    <row r="294" ht="15.75" customHeight="1">
      <c r="A294" s="34"/>
      <c r="G294" s="43"/>
    </row>
    <row r="295" ht="15.75" customHeight="1">
      <c r="A295" s="34"/>
      <c r="G295" s="43"/>
    </row>
    <row r="296" ht="15.75" customHeight="1">
      <c r="A296" s="34"/>
      <c r="G296" s="43"/>
    </row>
    <row r="297" ht="15.75" customHeight="1">
      <c r="A297" s="34"/>
      <c r="G297" s="43"/>
    </row>
    <row r="298" ht="15.75" customHeight="1">
      <c r="A298" s="34"/>
      <c r="G298" s="43"/>
    </row>
    <row r="299" ht="15.75" customHeight="1">
      <c r="A299" s="34"/>
      <c r="G299" s="43"/>
    </row>
    <row r="300" ht="15.75" customHeight="1">
      <c r="A300" s="34"/>
      <c r="G300" s="43"/>
    </row>
    <row r="301" ht="15.75" customHeight="1">
      <c r="A301" s="34"/>
      <c r="G301" s="43"/>
    </row>
    <row r="302" ht="15.75" customHeight="1">
      <c r="A302" s="34"/>
      <c r="G302" s="43"/>
    </row>
    <row r="303" ht="15.75" customHeight="1">
      <c r="A303" s="34"/>
      <c r="G303" s="43"/>
    </row>
    <row r="304" ht="15.75" customHeight="1">
      <c r="A304" s="34"/>
      <c r="G304" s="43"/>
    </row>
    <row r="305" ht="15.75" customHeight="1">
      <c r="A305" s="34"/>
      <c r="G305" s="43"/>
    </row>
    <row r="306" ht="15.75" customHeight="1">
      <c r="A306" s="34"/>
      <c r="G306" s="43"/>
    </row>
    <row r="307" ht="15.75" customHeight="1">
      <c r="A307" s="34"/>
      <c r="G307" s="43"/>
    </row>
    <row r="308" ht="15.75" customHeight="1">
      <c r="A308" s="34"/>
      <c r="G308" s="43"/>
    </row>
    <row r="309" ht="15.75" customHeight="1">
      <c r="A309" s="34"/>
      <c r="G309" s="43"/>
    </row>
    <row r="310" ht="15.75" customHeight="1">
      <c r="A310" s="34"/>
      <c r="G310" s="43"/>
    </row>
    <row r="311" ht="15.75" customHeight="1">
      <c r="A311" s="34"/>
      <c r="G311" s="43"/>
    </row>
    <row r="312" ht="15.75" customHeight="1">
      <c r="A312" s="34"/>
      <c r="G312" s="43"/>
    </row>
    <row r="313" ht="15.75" customHeight="1">
      <c r="A313" s="34"/>
      <c r="G313" s="43"/>
    </row>
    <row r="314" ht="15.75" customHeight="1">
      <c r="A314" s="34"/>
      <c r="G314" s="43"/>
    </row>
    <row r="315" ht="15.75" customHeight="1">
      <c r="A315" s="34"/>
      <c r="G315" s="43"/>
    </row>
    <row r="316" ht="15.75" customHeight="1">
      <c r="A316" s="34"/>
      <c r="G316" s="43"/>
    </row>
    <row r="317" ht="15.75" customHeight="1">
      <c r="A317" s="34"/>
      <c r="G317" s="43"/>
    </row>
    <row r="318" ht="15.75" customHeight="1">
      <c r="A318" s="34"/>
      <c r="G318" s="43"/>
    </row>
    <row r="319" ht="15.75" customHeight="1">
      <c r="A319" s="34"/>
      <c r="G319" s="43"/>
    </row>
    <row r="320" ht="15.75" customHeight="1">
      <c r="A320" s="34"/>
      <c r="G320" s="43"/>
    </row>
    <row r="321" ht="15.75" customHeight="1">
      <c r="A321" s="34"/>
      <c r="G321" s="43"/>
    </row>
    <row r="322" ht="15.75" customHeight="1">
      <c r="A322" s="34"/>
      <c r="G322" s="43"/>
    </row>
    <row r="323" ht="15.75" customHeight="1">
      <c r="A323" s="34"/>
      <c r="G323" s="43"/>
    </row>
    <row r="324" ht="15.75" customHeight="1">
      <c r="A324" s="34"/>
      <c r="G324" s="43"/>
    </row>
    <row r="325" ht="15.75" customHeight="1">
      <c r="A325" s="34"/>
      <c r="G325" s="43"/>
    </row>
    <row r="326" ht="15.75" customHeight="1">
      <c r="A326" s="34"/>
      <c r="G326" s="43"/>
    </row>
    <row r="327" ht="15.75" customHeight="1">
      <c r="A327" s="34"/>
      <c r="G327" s="43"/>
    </row>
    <row r="328" ht="15.75" customHeight="1">
      <c r="A328" s="34"/>
      <c r="G328" s="43"/>
    </row>
    <row r="329" ht="15.75" customHeight="1">
      <c r="A329" s="34"/>
      <c r="G329" s="43"/>
    </row>
    <row r="330" ht="15.75" customHeight="1">
      <c r="A330" s="34"/>
      <c r="G330" s="43"/>
    </row>
    <row r="331" ht="15.75" customHeight="1">
      <c r="A331" s="34"/>
      <c r="G331" s="43"/>
    </row>
    <row r="332" ht="15.75" customHeight="1">
      <c r="A332" s="34"/>
      <c r="G332" s="43"/>
    </row>
    <row r="333" ht="15.75" customHeight="1">
      <c r="A333" s="34"/>
      <c r="G333" s="43"/>
    </row>
    <row r="334" ht="15.75" customHeight="1">
      <c r="A334" s="34"/>
      <c r="G334" s="43"/>
    </row>
    <row r="335" ht="15.75" customHeight="1">
      <c r="A335" s="34"/>
      <c r="G335" s="43"/>
    </row>
    <row r="336" ht="15.75" customHeight="1">
      <c r="A336" s="34"/>
      <c r="G336" s="43"/>
    </row>
    <row r="337" ht="15.75" customHeight="1">
      <c r="A337" s="34"/>
      <c r="G337" s="43"/>
    </row>
    <row r="338" ht="15.75" customHeight="1">
      <c r="A338" s="34"/>
      <c r="G338" s="43"/>
    </row>
    <row r="339" ht="15.75" customHeight="1">
      <c r="A339" s="34"/>
      <c r="G339" s="43"/>
    </row>
    <row r="340" ht="15.75" customHeight="1">
      <c r="A340" s="34"/>
      <c r="G340" s="43"/>
    </row>
    <row r="341" ht="15.75" customHeight="1">
      <c r="A341" s="34"/>
      <c r="G341" s="43"/>
    </row>
    <row r="342" ht="15.75" customHeight="1">
      <c r="A342" s="34"/>
      <c r="G342" s="43"/>
    </row>
    <row r="343" ht="15.75" customHeight="1">
      <c r="A343" s="34"/>
      <c r="G343" s="43"/>
    </row>
    <row r="344" ht="15.75" customHeight="1">
      <c r="A344" s="34"/>
      <c r="G344" s="43"/>
    </row>
    <row r="345" ht="15.75" customHeight="1">
      <c r="A345" s="34"/>
      <c r="G345" s="43"/>
    </row>
    <row r="346" ht="15.75" customHeight="1">
      <c r="A346" s="34"/>
      <c r="G346" s="43"/>
    </row>
    <row r="347" ht="15.75" customHeight="1">
      <c r="A347" s="34"/>
      <c r="G347" s="43"/>
    </row>
    <row r="348" ht="15.75" customHeight="1">
      <c r="A348" s="34"/>
      <c r="G348" s="43"/>
    </row>
    <row r="349" ht="15.75" customHeight="1">
      <c r="A349" s="34"/>
      <c r="G349" s="43"/>
    </row>
    <row r="350" ht="15.75" customHeight="1">
      <c r="A350" s="34"/>
      <c r="G350" s="43"/>
    </row>
    <row r="351" ht="15.75" customHeight="1">
      <c r="A351" s="34"/>
      <c r="G351" s="43"/>
    </row>
    <row r="352" ht="15.75" customHeight="1">
      <c r="A352" s="34"/>
      <c r="G352" s="43"/>
    </row>
    <row r="353" ht="15.75" customHeight="1">
      <c r="A353" s="34"/>
      <c r="G353" s="43"/>
    </row>
    <row r="354" ht="15.75" customHeight="1">
      <c r="A354" s="34"/>
      <c r="G354" s="43"/>
    </row>
    <row r="355" ht="15.75" customHeight="1">
      <c r="A355" s="34"/>
      <c r="G355" s="43"/>
    </row>
    <row r="356" ht="15.75" customHeight="1">
      <c r="A356" s="34"/>
      <c r="G356" s="43"/>
    </row>
    <row r="357" ht="15.75" customHeight="1">
      <c r="A357" s="34"/>
      <c r="G357" s="43"/>
    </row>
    <row r="358" ht="15.75" customHeight="1">
      <c r="A358" s="34"/>
      <c r="G358" s="43"/>
    </row>
    <row r="359" ht="15.75" customHeight="1">
      <c r="A359" s="34"/>
      <c r="G359" s="43"/>
    </row>
    <row r="360" ht="15.75" customHeight="1">
      <c r="A360" s="34"/>
      <c r="G360" s="43"/>
    </row>
    <row r="361" ht="15.75" customHeight="1">
      <c r="A361" s="34"/>
      <c r="G361" s="43"/>
    </row>
    <row r="362" ht="15.75" customHeight="1">
      <c r="A362" s="34"/>
      <c r="G362" s="43"/>
    </row>
    <row r="363" ht="15.75" customHeight="1">
      <c r="A363" s="34"/>
      <c r="G363" s="43"/>
    </row>
    <row r="364" ht="15.75" customHeight="1">
      <c r="A364" s="34"/>
      <c r="G364" s="43"/>
    </row>
    <row r="365" ht="15.75" customHeight="1">
      <c r="A365" s="34"/>
      <c r="G365" s="43"/>
    </row>
    <row r="366" ht="15.75" customHeight="1">
      <c r="A366" s="34"/>
      <c r="G366" s="43"/>
    </row>
    <row r="367" ht="15.75" customHeight="1">
      <c r="A367" s="34"/>
      <c r="G367" s="43"/>
    </row>
    <row r="368" ht="15.75" customHeight="1">
      <c r="A368" s="34"/>
      <c r="G368" s="43"/>
    </row>
    <row r="369" ht="15.75" customHeight="1">
      <c r="A369" s="34"/>
      <c r="G369" s="43"/>
    </row>
    <row r="370" ht="15.75" customHeight="1">
      <c r="A370" s="34"/>
      <c r="G370" s="43"/>
    </row>
    <row r="371" ht="15.75" customHeight="1">
      <c r="A371" s="34"/>
      <c r="G371" s="43"/>
    </row>
    <row r="372" ht="15.75" customHeight="1">
      <c r="A372" s="34"/>
      <c r="G372" s="43"/>
    </row>
    <row r="373" ht="15.75" customHeight="1">
      <c r="A373" s="34"/>
      <c r="G373" s="43"/>
    </row>
    <row r="374" ht="15.75" customHeight="1">
      <c r="A374" s="34"/>
      <c r="G374" s="43"/>
    </row>
    <row r="375" ht="15.75" customHeight="1">
      <c r="A375" s="34"/>
      <c r="G375" s="43"/>
    </row>
    <row r="376" ht="15.75" customHeight="1">
      <c r="A376" s="34"/>
      <c r="G376" s="43"/>
    </row>
    <row r="377" ht="15.75" customHeight="1">
      <c r="A377" s="34"/>
      <c r="G377" s="43"/>
    </row>
    <row r="378" ht="15.75" customHeight="1">
      <c r="A378" s="34"/>
      <c r="G378" s="43"/>
    </row>
    <row r="379" ht="15.75" customHeight="1">
      <c r="A379" s="34"/>
      <c r="G379" s="43"/>
    </row>
    <row r="380" ht="15.75" customHeight="1">
      <c r="A380" s="34"/>
      <c r="G380" s="43"/>
    </row>
    <row r="381" ht="15.75" customHeight="1">
      <c r="A381" s="34"/>
      <c r="G381" s="43"/>
    </row>
    <row r="382" ht="15.75" customHeight="1">
      <c r="A382" s="34"/>
      <c r="G382" s="43"/>
    </row>
    <row r="383" ht="15.75" customHeight="1">
      <c r="A383" s="34"/>
      <c r="G383" s="43"/>
    </row>
    <row r="384" ht="15.75" customHeight="1">
      <c r="A384" s="34"/>
      <c r="G384" s="43"/>
    </row>
    <row r="385" ht="15.75" customHeight="1">
      <c r="A385" s="34"/>
      <c r="G385" s="43"/>
    </row>
    <row r="386" ht="15.75" customHeight="1">
      <c r="A386" s="34"/>
      <c r="G386" s="43"/>
    </row>
    <row r="387" ht="15.75" customHeight="1">
      <c r="A387" s="34"/>
      <c r="G387" s="43"/>
    </row>
    <row r="388" ht="15.75" customHeight="1">
      <c r="A388" s="34"/>
      <c r="G388" s="43"/>
    </row>
    <row r="389" ht="15.75" customHeight="1">
      <c r="A389" s="34"/>
      <c r="G389" s="43"/>
    </row>
    <row r="390" ht="15.75" customHeight="1">
      <c r="A390" s="34"/>
      <c r="G390" s="43"/>
    </row>
    <row r="391" ht="15.75" customHeight="1">
      <c r="A391" s="34"/>
      <c r="G391" s="43"/>
    </row>
    <row r="392" ht="15.75" customHeight="1">
      <c r="A392" s="34"/>
      <c r="G392" s="43"/>
    </row>
    <row r="393" ht="15.75" customHeight="1">
      <c r="A393" s="34"/>
      <c r="G393" s="43"/>
    </row>
    <row r="394" ht="15.75" customHeight="1">
      <c r="A394" s="34"/>
      <c r="G394" s="43"/>
    </row>
    <row r="395" ht="15.75" customHeight="1">
      <c r="A395" s="34"/>
      <c r="G395" s="43"/>
    </row>
    <row r="396" ht="15.75" customHeight="1">
      <c r="A396" s="34"/>
      <c r="G396" s="43"/>
    </row>
    <row r="397" ht="15.75" customHeight="1">
      <c r="A397" s="34"/>
      <c r="G397" s="43"/>
    </row>
    <row r="398" ht="15.75" customHeight="1">
      <c r="A398" s="34"/>
      <c r="G398" s="43"/>
    </row>
    <row r="399" ht="15.75" customHeight="1">
      <c r="A399" s="34"/>
      <c r="G399" s="43"/>
    </row>
    <row r="400" ht="15.75" customHeight="1">
      <c r="A400" s="34"/>
      <c r="G400" s="43"/>
    </row>
    <row r="401" ht="15.75" customHeight="1">
      <c r="A401" s="34"/>
      <c r="G401" s="43"/>
    </row>
    <row r="402" ht="15.75" customHeight="1">
      <c r="A402" s="34"/>
      <c r="G402" s="43"/>
    </row>
    <row r="403" ht="15.75" customHeight="1">
      <c r="A403" s="34"/>
      <c r="G403" s="43"/>
    </row>
    <row r="404" ht="15.75" customHeight="1">
      <c r="A404" s="34"/>
      <c r="G404" s="43"/>
    </row>
    <row r="405" ht="15.75" customHeight="1">
      <c r="A405" s="34"/>
      <c r="G405" s="43"/>
    </row>
    <row r="406" ht="15.75" customHeight="1">
      <c r="A406" s="34"/>
      <c r="G406" s="43"/>
    </row>
    <row r="407" ht="15.75" customHeight="1">
      <c r="A407" s="34"/>
      <c r="G407" s="43"/>
    </row>
    <row r="408" ht="15.75" customHeight="1">
      <c r="A408" s="34"/>
      <c r="G408" s="43"/>
    </row>
    <row r="409" ht="15.75" customHeight="1">
      <c r="A409" s="34"/>
      <c r="G409" s="43"/>
    </row>
    <row r="410" ht="15.75" customHeight="1">
      <c r="A410" s="34"/>
      <c r="G410" s="43"/>
    </row>
    <row r="411" ht="15.75" customHeight="1">
      <c r="A411" s="34"/>
      <c r="G411" s="43"/>
    </row>
    <row r="412" ht="15.75" customHeight="1">
      <c r="A412" s="34"/>
      <c r="G412" s="43"/>
    </row>
    <row r="413" ht="15.75" customHeight="1">
      <c r="A413" s="34"/>
      <c r="G413" s="43"/>
    </row>
    <row r="414" ht="15.75" customHeight="1">
      <c r="A414" s="34"/>
      <c r="G414" s="43"/>
    </row>
    <row r="415" ht="15.75" customHeight="1">
      <c r="A415" s="34"/>
      <c r="G415" s="43"/>
    </row>
    <row r="416" ht="15.75" customHeight="1">
      <c r="A416" s="34"/>
      <c r="G416" s="43"/>
    </row>
    <row r="417" ht="15.75" customHeight="1">
      <c r="A417" s="34"/>
      <c r="G417" s="43"/>
    </row>
    <row r="418" ht="15.75" customHeight="1">
      <c r="A418" s="34"/>
      <c r="G418" s="43"/>
    </row>
    <row r="419" ht="15.75" customHeight="1">
      <c r="A419" s="34"/>
      <c r="G419" s="43"/>
    </row>
    <row r="420" ht="15.75" customHeight="1">
      <c r="A420" s="34"/>
      <c r="G420" s="43"/>
    </row>
    <row r="421" ht="15.75" customHeight="1">
      <c r="A421" s="34"/>
      <c r="G421" s="43"/>
    </row>
    <row r="422" ht="15.75" customHeight="1">
      <c r="A422" s="34"/>
      <c r="G422" s="43"/>
    </row>
    <row r="423" ht="15.75" customHeight="1">
      <c r="A423" s="34"/>
      <c r="G423" s="43"/>
    </row>
    <row r="424" ht="15.75" customHeight="1">
      <c r="A424" s="34"/>
      <c r="G424" s="43"/>
    </row>
    <row r="425" ht="15.75" customHeight="1">
      <c r="A425" s="34"/>
      <c r="G425" s="43"/>
    </row>
    <row r="426" ht="15.75" customHeight="1">
      <c r="A426" s="34"/>
      <c r="G426" s="43"/>
    </row>
    <row r="427" ht="15.75" customHeight="1">
      <c r="A427" s="34"/>
      <c r="G427" s="43"/>
    </row>
    <row r="428" ht="15.75" customHeight="1">
      <c r="A428" s="34"/>
      <c r="G428" s="43"/>
    </row>
    <row r="429" ht="15.75" customHeight="1">
      <c r="A429" s="34"/>
      <c r="G429" s="43"/>
    </row>
    <row r="430" ht="15.75" customHeight="1">
      <c r="A430" s="34"/>
      <c r="G430" s="43"/>
    </row>
    <row r="431" ht="15.75" customHeight="1">
      <c r="A431" s="34"/>
      <c r="G431" s="43"/>
    </row>
    <row r="432" ht="15.75" customHeight="1">
      <c r="A432" s="34"/>
      <c r="G432" s="43"/>
    </row>
    <row r="433" ht="15.75" customHeight="1">
      <c r="A433" s="34"/>
      <c r="G433" s="43"/>
    </row>
    <row r="434" ht="15.75" customHeight="1">
      <c r="A434" s="34"/>
      <c r="G434" s="43"/>
    </row>
    <row r="435" ht="15.75" customHeight="1">
      <c r="A435" s="34"/>
      <c r="G435" s="43"/>
    </row>
    <row r="436" ht="15.75" customHeight="1">
      <c r="A436" s="34"/>
      <c r="G436" s="43"/>
    </row>
    <row r="437" ht="15.75" customHeight="1">
      <c r="A437" s="34"/>
      <c r="G437" s="43"/>
    </row>
    <row r="438" ht="15.75" customHeight="1">
      <c r="A438" s="34"/>
      <c r="G438" s="43"/>
    </row>
    <row r="439" ht="15.75" customHeight="1">
      <c r="A439" s="34"/>
      <c r="G439" s="43"/>
    </row>
    <row r="440" ht="15.75" customHeight="1">
      <c r="A440" s="34"/>
      <c r="G440" s="43"/>
    </row>
    <row r="441" ht="15.75" customHeight="1">
      <c r="A441" s="34"/>
      <c r="G441" s="43"/>
    </row>
    <row r="442" ht="15.75" customHeight="1">
      <c r="A442" s="34"/>
      <c r="G442" s="43"/>
    </row>
    <row r="443" ht="15.75" customHeight="1">
      <c r="A443" s="34"/>
      <c r="G443" s="43"/>
    </row>
    <row r="444" ht="15.75" customHeight="1">
      <c r="A444" s="34"/>
      <c r="G444" s="43"/>
    </row>
    <row r="445" ht="15.75" customHeight="1">
      <c r="A445" s="34"/>
      <c r="G445" s="43"/>
    </row>
    <row r="446" ht="15.75" customHeight="1">
      <c r="A446" s="34"/>
      <c r="G446" s="43"/>
    </row>
    <row r="447" ht="15.75" customHeight="1">
      <c r="A447" s="34"/>
      <c r="G447" s="43"/>
    </row>
    <row r="448" ht="15.75" customHeight="1">
      <c r="A448" s="34"/>
      <c r="G448" s="43"/>
    </row>
    <row r="449" ht="15.75" customHeight="1">
      <c r="A449" s="34"/>
      <c r="G449" s="43"/>
    </row>
    <row r="450" ht="15.75" customHeight="1">
      <c r="A450" s="34"/>
      <c r="G450" s="43"/>
    </row>
    <row r="451" ht="15.75" customHeight="1">
      <c r="A451" s="34"/>
      <c r="G451" s="43"/>
    </row>
    <row r="452" ht="15.75" customHeight="1">
      <c r="A452" s="34"/>
      <c r="G452" s="43"/>
    </row>
    <row r="453" ht="15.75" customHeight="1">
      <c r="A453" s="34"/>
      <c r="G453" s="43"/>
    </row>
    <row r="454" ht="15.75" customHeight="1">
      <c r="A454" s="34"/>
      <c r="G454" s="43"/>
    </row>
    <row r="455" ht="15.75" customHeight="1">
      <c r="A455" s="34"/>
      <c r="G455" s="43"/>
    </row>
    <row r="456" ht="15.75" customHeight="1">
      <c r="A456" s="34"/>
      <c r="G456" s="43"/>
    </row>
    <row r="457" ht="15.75" customHeight="1">
      <c r="A457" s="34"/>
      <c r="G457" s="43"/>
    </row>
    <row r="458" ht="15.75" customHeight="1">
      <c r="A458" s="34"/>
      <c r="G458" s="43"/>
    </row>
    <row r="459" ht="15.75" customHeight="1">
      <c r="A459" s="34"/>
      <c r="G459" s="43"/>
    </row>
    <row r="460" ht="15.75" customHeight="1">
      <c r="A460" s="34"/>
      <c r="G460" s="43"/>
    </row>
    <row r="461" ht="15.75" customHeight="1">
      <c r="A461" s="34"/>
      <c r="G461" s="43"/>
    </row>
    <row r="462" ht="15.75" customHeight="1">
      <c r="A462" s="34"/>
      <c r="G462" s="43"/>
    </row>
    <row r="463" ht="15.75" customHeight="1">
      <c r="A463" s="34"/>
      <c r="G463" s="43"/>
    </row>
    <row r="464" ht="15.75" customHeight="1">
      <c r="A464" s="34"/>
      <c r="G464" s="43"/>
    </row>
    <row r="465" ht="15.75" customHeight="1">
      <c r="A465" s="34"/>
      <c r="G465" s="43"/>
    </row>
    <row r="466" ht="15.75" customHeight="1">
      <c r="A466" s="34"/>
      <c r="G466" s="43"/>
    </row>
    <row r="467" ht="15.75" customHeight="1">
      <c r="A467" s="34"/>
      <c r="G467" s="43"/>
    </row>
    <row r="468" ht="15.75" customHeight="1">
      <c r="A468" s="34"/>
      <c r="G468" s="43"/>
    </row>
    <row r="469" ht="15.75" customHeight="1">
      <c r="A469" s="34"/>
      <c r="G469" s="43"/>
    </row>
    <row r="470" ht="15.75" customHeight="1">
      <c r="A470" s="34"/>
      <c r="G470" s="43"/>
    </row>
    <row r="471" ht="15.75" customHeight="1">
      <c r="A471" s="34"/>
      <c r="G471" s="43"/>
    </row>
    <row r="472" ht="15.75" customHeight="1">
      <c r="A472" s="34"/>
      <c r="G472" s="43"/>
    </row>
    <row r="473" ht="15.75" customHeight="1">
      <c r="A473" s="34"/>
      <c r="G473" s="43"/>
    </row>
    <row r="474" ht="15.75" customHeight="1">
      <c r="A474" s="34"/>
      <c r="G474" s="43"/>
    </row>
    <row r="475" ht="15.75" customHeight="1">
      <c r="A475" s="34"/>
      <c r="G475" s="43"/>
    </row>
    <row r="476" ht="15.75" customHeight="1">
      <c r="A476" s="34"/>
      <c r="G476" s="43"/>
    </row>
    <row r="477" ht="15.75" customHeight="1">
      <c r="A477" s="34"/>
      <c r="G477" s="43"/>
    </row>
    <row r="478" ht="15.75" customHeight="1">
      <c r="A478" s="34"/>
      <c r="G478" s="43"/>
    </row>
    <row r="479" ht="15.75" customHeight="1">
      <c r="A479" s="34"/>
      <c r="G479" s="43"/>
    </row>
    <row r="480" ht="15.75" customHeight="1">
      <c r="A480" s="34"/>
      <c r="G480" s="43"/>
    </row>
    <row r="481" ht="15.75" customHeight="1">
      <c r="A481" s="34"/>
      <c r="G481" s="43"/>
    </row>
    <row r="482" ht="15.75" customHeight="1">
      <c r="A482" s="34"/>
      <c r="G482" s="43"/>
    </row>
    <row r="483" ht="15.75" customHeight="1">
      <c r="A483" s="34"/>
      <c r="G483" s="43"/>
    </row>
    <row r="484" ht="15.75" customHeight="1">
      <c r="A484" s="34"/>
      <c r="G484" s="43"/>
    </row>
    <row r="485" ht="15.75" customHeight="1">
      <c r="A485" s="34"/>
      <c r="G485" s="43"/>
    </row>
    <row r="486" ht="15.75" customHeight="1">
      <c r="A486" s="34"/>
      <c r="G486" s="43"/>
    </row>
    <row r="487" ht="15.75" customHeight="1">
      <c r="A487" s="34"/>
      <c r="G487" s="43"/>
    </row>
    <row r="488" ht="15.75" customHeight="1">
      <c r="A488" s="34"/>
      <c r="G488" s="43"/>
    </row>
    <row r="489" ht="15.75" customHeight="1">
      <c r="A489" s="34"/>
      <c r="G489" s="43"/>
    </row>
    <row r="490" ht="15.75" customHeight="1">
      <c r="A490" s="34"/>
      <c r="G490" s="43"/>
    </row>
    <row r="491" ht="15.75" customHeight="1">
      <c r="A491" s="34"/>
      <c r="G491" s="43"/>
    </row>
    <row r="492" ht="15.75" customHeight="1">
      <c r="A492" s="34"/>
      <c r="G492" s="43"/>
    </row>
    <row r="493" ht="15.75" customHeight="1">
      <c r="A493" s="34"/>
      <c r="G493" s="43"/>
    </row>
    <row r="494" ht="15.75" customHeight="1">
      <c r="A494" s="34"/>
      <c r="G494" s="43"/>
    </row>
    <row r="495" ht="15.75" customHeight="1">
      <c r="A495" s="34"/>
      <c r="G495" s="43"/>
    </row>
    <row r="496" ht="15.75" customHeight="1">
      <c r="A496" s="34"/>
      <c r="G496" s="43"/>
    </row>
    <row r="497" ht="15.75" customHeight="1">
      <c r="A497" s="34"/>
      <c r="G497" s="43"/>
    </row>
    <row r="498" ht="15.75" customHeight="1">
      <c r="A498" s="34"/>
      <c r="G498" s="43"/>
    </row>
    <row r="499" ht="15.75" customHeight="1">
      <c r="A499" s="34"/>
      <c r="G499" s="43"/>
    </row>
    <row r="500" ht="15.75" customHeight="1">
      <c r="A500" s="34"/>
      <c r="G500" s="43"/>
    </row>
    <row r="501" ht="15.75" customHeight="1">
      <c r="A501" s="34"/>
      <c r="G501" s="43"/>
    </row>
    <row r="502" ht="15.75" customHeight="1">
      <c r="A502" s="34"/>
      <c r="G502" s="43"/>
    </row>
    <row r="503" ht="15.75" customHeight="1">
      <c r="A503" s="34"/>
      <c r="G503" s="43"/>
    </row>
    <row r="504" ht="15.75" customHeight="1">
      <c r="A504" s="34"/>
      <c r="G504" s="43"/>
    </row>
    <row r="505" ht="15.75" customHeight="1">
      <c r="A505" s="34"/>
      <c r="G505" s="43"/>
    </row>
    <row r="506" ht="15.75" customHeight="1">
      <c r="A506" s="34"/>
      <c r="G506" s="43"/>
    </row>
    <row r="507" ht="15.75" customHeight="1">
      <c r="A507" s="34"/>
      <c r="G507" s="43"/>
    </row>
    <row r="508" ht="15.75" customHeight="1">
      <c r="A508" s="34"/>
      <c r="G508" s="43"/>
    </row>
    <row r="509" ht="15.75" customHeight="1">
      <c r="A509" s="34"/>
      <c r="G509" s="43"/>
    </row>
    <row r="510" ht="15.75" customHeight="1">
      <c r="A510" s="34"/>
      <c r="G510" s="43"/>
    </row>
    <row r="511" ht="15.75" customHeight="1">
      <c r="A511" s="34"/>
      <c r="G511" s="43"/>
    </row>
    <row r="512" ht="15.75" customHeight="1">
      <c r="A512" s="34"/>
      <c r="G512" s="43"/>
    </row>
    <row r="513" ht="15.75" customHeight="1">
      <c r="A513" s="34"/>
      <c r="G513" s="43"/>
    </row>
    <row r="514" ht="15.75" customHeight="1">
      <c r="A514" s="34"/>
      <c r="G514" s="43"/>
    </row>
    <row r="515" ht="15.75" customHeight="1">
      <c r="A515" s="34"/>
      <c r="G515" s="43"/>
    </row>
    <row r="516" ht="15.75" customHeight="1">
      <c r="A516" s="34"/>
      <c r="G516" s="43"/>
    </row>
    <row r="517" ht="15.75" customHeight="1">
      <c r="A517" s="34"/>
      <c r="G517" s="43"/>
    </row>
    <row r="518" ht="15.75" customHeight="1">
      <c r="A518" s="34"/>
      <c r="G518" s="43"/>
    </row>
    <row r="519" ht="15.75" customHeight="1">
      <c r="A519" s="34"/>
      <c r="G519" s="43"/>
    </row>
    <row r="520" ht="15.75" customHeight="1">
      <c r="A520" s="34"/>
      <c r="G520" s="43"/>
    </row>
    <row r="521" ht="15.75" customHeight="1">
      <c r="A521" s="34"/>
      <c r="G521" s="43"/>
    </row>
    <row r="522" ht="15.75" customHeight="1">
      <c r="A522" s="34"/>
      <c r="G522" s="43"/>
    </row>
    <row r="523" ht="15.75" customHeight="1">
      <c r="A523" s="34"/>
      <c r="G523" s="43"/>
    </row>
    <row r="524" ht="15.75" customHeight="1">
      <c r="A524" s="34"/>
      <c r="G524" s="43"/>
    </row>
    <row r="525" ht="15.75" customHeight="1">
      <c r="A525" s="34"/>
      <c r="G525" s="43"/>
    </row>
    <row r="526" ht="15.75" customHeight="1">
      <c r="A526" s="34"/>
      <c r="G526" s="43"/>
    </row>
    <row r="527" ht="15.75" customHeight="1">
      <c r="A527" s="34"/>
      <c r="G527" s="43"/>
    </row>
    <row r="528" ht="15.75" customHeight="1">
      <c r="A528" s="34"/>
      <c r="G528" s="43"/>
    </row>
    <row r="529" ht="15.75" customHeight="1">
      <c r="A529" s="34"/>
      <c r="G529" s="43"/>
    </row>
    <row r="530" ht="15.75" customHeight="1">
      <c r="A530" s="34"/>
      <c r="G530" s="43"/>
    </row>
    <row r="531" ht="15.75" customHeight="1">
      <c r="A531" s="34"/>
      <c r="G531" s="43"/>
    </row>
    <row r="532" ht="15.75" customHeight="1">
      <c r="A532" s="34"/>
      <c r="G532" s="43"/>
    </row>
    <row r="533" ht="15.75" customHeight="1">
      <c r="A533" s="34"/>
      <c r="G533" s="43"/>
    </row>
    <row r="534" ht="15.75" customHeight="1">
      <c r="A534" s="34"/>
      <c r="G534" s="43"/>
    </row>
    <row r="535" ht="15.75" customHeight="1">
      <c r="A535" s="34"/>
      <c r="G535" s="43"/>
    </row>
    <row r="536" ht="15.75" customHeight="1">
      <c r="A536" s="34"/>
      <c r="G536" s="43"/>
    </row>
    <row r="537" ht="15.75" customHeight="1">
      <c r="A537" s="34"/>
      <c r="G537" s="43"/>
    </row>
    <row r="538" ht="15.75" customHeight="1">
      <c r="A538" s="34"/>
      <c r="G538" s="43"/>
    </row>
    <row r="539" ht="15.75" customHeight="1">
      <c r="A539" s="34"/>
      <c r="G539" s="43"/>
    </row>
    <row r="540" ht="15.75" customHeight="1">
      <c r="A540" s="34"/>
      <c r="G540" s="43"/>
    </row>
    <row r="541" ht="15.75" customHeight="1">
      <c r="A541" s="34"/>
      <c r="G541" s="43"/>
    </row>
    <row r="542" ht="15.75" customHeight="1">
      <c r="A542" s="34"/>
      <c r="G542" s="43"/>
    </row>
    <row r="543" ht="15.75" customHeight="1">
      <c r="A543" s="34"/>
      <c r="G543" s="43"/>
    </row>
    <row r="544" ht="15.75" customHeight="1">
      <c r="A544" s="34"/>
      <c r="G544" s="43"/>
    </row>
    <row r="545" ht="15.75" customHeight="1">
      <c r="A545" s="34"/>
      <c r="G545" s="43"/>
    </row>
    <row r="546" ht="15.75" customHeight="1">
      <c r="A546" s="34"/>
      <c r="G546" s="43"/>
    </row>
    <row r="547" ht="15.75" customHeight="1">
      <c r="A547" s="34"/>
      <c r="G547" s="43"/>
    </row>
    <row r="548" ht="15.75" customHeight="1">
      <c r="A548" s="34"/>
      <c r="G548" s="43"/>
    </row>
    <row r="549" ht="15.75" customHeight="1">
      <c r="A549" s="34"/>
      <c r="G549" s="43"/>
    </row>
    <row r="550" ht="15.75" customHeight="1">
      <c r="A550" s="34"/>
      <c r="G550" s="43"/>
    </row>
    <row r="551" ht="15.75" customHeight="1">
      <c r="A551" s="34"/>
      <c r="G551" s="43"/>
    </row>
    <row r="552" ht="15.75" customHeight="1">
      <c r="A552" s="34"/>
      <c r="G552" s="43"/>
    </row>
    <row r="553" ht="15.75" customHeight="1">
      <c r="A553" s="34"/>
      <c r="G553" s="43"/>
    </row>
    <row r="554" ht="15.75" customHeight="1">
      <c r="A554" s="34"/>
      <c r="G554" s="43"/>
    </row>
    <row r="555" ht="15.75" customHeight="1">
      <c r="A555" s="34"/>
      <c r="G555" s="43"/>
    </row>
    <row r="556" ht="15.75" customHeight="1">
      <c r="A556" s="34"/>
      <c r="G556" s="43"/>
    </row>
    <row r="557" ht="15.75" customHeight="1">
      <c r="A557" s="34"/>
      <c r="G557" s="43"/>
    </row>
    <row r="558" ht="15.75" customHeight="1">
      <c r="A558" s="34"/>
      <c r="G558" s="43"/>
    </row>
    <row r="559" ht="15.75" customHeight="1">
      <c r="A559" s="34"/>
      <c r="G559" s="43"/>
    </row>
    <row r="560" ht="15.75" customHeight="1">
      <c r="A560" s="34"/>
      <c r="G560" s="43"/>
    </row>
    <row r="561" ht="15.75" customHeight="1">
      <c r="A561" s="34"/>
      <c r="G561" s="43"/>
    </row>
    <row r="562" ht="15.75" customHeight="1">
      <c r="A562" s="34"/>
      <c r="G562" s="43"/>
    </row>
    <row r="563" ht="15.75" customHeight="1">
      <c r="A563" s="34"/>
      <c r="G563" s="43"/>
    </row>
    <row r="564" ht="15.75" customHeight="1">
      <c r="A564" s="34"/>
      <c r="G564" s="43"/>
    </row>
    <row r="565" ht="15.75" customHeight="1">
      <c r="A565" s="34"/>
      <c r="G565" s="43"/>
    </row>
    <row r="566" ht="15.75" customHeight="1">
      <c r="A566" s="34"/>
      <c r="G566" s="43"/>
    </row>
    <row r="567" ht="15.75" customHeight="1">
      <c r="A567" s="34"/>
      <c r="G567" s="43"/>
    </row>
    <row r="568" ht="15.75" customHeight="1">
      <c r="A568" s="34"/>
      <c r="G568" s="43"/>
    </row>
    <row r="569" ht="15.75" customHeight="1">
      <c r="A569" s="34"/>
      <c r="G569" s="43"/>
    </row>
    <row r="570" ht="15.75" customHeight="1">
      <c r="A570" s="34"/>
      <c r="G570" s="43"/>
    </row>
    <row r="571" ht="15.75" customHeight="1">
      <c r="A571" s="34"/>
      <c r="G571" s="43"/>
    </row>
    <row r="572" ht="15.75" customHeight="1">
      <c r="A572" s="34"/>
      <c r="G572" s="43"/>
    </row>
    <row r="573" ht="15.75" customHeight="1">
      <c r="A573" s="34"/>
      <c r="G573" s="43"/>
    </row>
    <row r="574" ht="15.75" customHeight="1">
      <c r="A574" s="34"/>
      <c r="G574" s="43"/>
    </row>
    <row r="575" ht="15.75" customHeight="1">
      <c r="A575" s="34"/>
      <c r="G575" s="43"/>
    </row>
    <row r="576" ht="15.75" customHeight="1">
      <c r="A576" s="34"/>
      <c r="G576" s="43"/>
    </row>
    <row r="577" ht="15.75" customHeight="1">
      <c r="A577" s="34"/>
      <c r="G577" s="43"/>
    </row>
    <row r="578" ht="15.75" customHeight="1">
      <c r="A578" s="34"/>
      <c r="G578" s="43"/>
    </row>
    <row r="579" ht="15.75" customHeight="1">
      <c r="A579" s="34"/>
      <c r="G579" s="43"/>
    </row>
    <row r="580" ht="15.75" customHeight="1">
      <c r="A580" s="34"/>
      <c r="G580" s="43"/>
    </row>
    <row r="581" ht="15.75" customHeight="1">
      <c r="A581" s="34"/>
      <c r="G581" s="43"/>
    </row>
    <row r="582" ht="15.75" customHeight="1">
      <c r="A582" s="34"/>
      <c r="G582" s="43"/>
    </row>
    <row r="583" ht="15.75" customHeight="1">
      <c r="A583" s="34"/>
      <c r="G583" s="43"/>
    </row>
    <row r="584" ht="15.75" customHeight="1">
      <c r="A584" s="34"/>
      <c r="G584" s="43"/>
    </row>
    <row r="585" ht="15.75" customHeight="1">
      <c r="A585" s="34"/>
      <c r="G585" s="43"/>
    </row>
    <row r="586" ht="15.75" customHeight="1">
      <c r="A586" s="34"/>
      <c r="G586" s="43"/>
    </row>
    <row r="587" ht="15.75" customHeight="1">
      <c r="A587" s="34"/>
      <c r="G587" s="43"/>
    </row>
    <row r="588" ht="15.75" customHeight="1">
      <c r="A588" s="34"/>
      <c r="G588" s="43"/>
    </row>
    <row r="589" ht="15.75" customHeight="1">
      <c r="A589" s="34"/>
      <c r="G589" s="43"/>
    </row>
    <row r="590" ht="15.75" customHeight="1">
      <c r="A590" s="34"/>
      <c r="G590" s="43"/>
    </row>
    <row r="591" ht="15.75" customHeight="1">
      <c r="A591" s="34"/>
      <c r="G591" s="43"/>
    </row>
    <row r="592" ht="15.75" customHeight="1">
      <c r="A592" s="34"/>
      <c r="G592" s="43"/>
    </row>
    <row r="593" ht="15.75" customHeight="1">
      <c r="A593" s="34"/>
      <c r="G593" s="43"/>
    </row>
    <row r="594" ht="15.75" customHeight="1">
      <c r="A594" s="34"/>
      <c r="G594" s="43"/>
    </row>
    <row r="595" ht="15.75" customHeight="1">
      <c r="A595" s="34"/>
      <c r="G595" s="43"/>
    </row>
    <row r="596" ht="15.75" customHeight="1">
      <c r="A596" s="34"/>
      <c r="G596" s="43"/>
    </row>
    <row r="597" ht="15.75" customHeight="1">
      <c r="A597" s="34"/>
      <c r="G597" s="43"/>
    </row>
    <row r="598" ht="15.75" customHeight="1">
      <c r="A598" s="34"/>
      <c r="G598" s="43"/>
    </row>
    <row r="599" ht="15.75" customHeight="1">
      <c r="A599" s="34"/>
      <c r="G599" s="43"/>
    </row>
    <row r="600" ht="15.75" customHeight="1">
      <c r="A600" s="34"/>
      <c r="G600" s="43"/>
    </row>
    <row r="601" ht="15.75" customHeight="1">
      <c r="A601" s="34"/>
      <c r="G601" s="43"/>
    </row>
    <row r="602" ht="15.75" customHeight="1">
      <c r="A602" s="34"/>
      <c r="G602" s="43"/>
    </row>
    <row r="603" ht="15.75" customHeight="1">
      <c r="A603" s="34"/>
      <c r="G603" s="43"/>
    </row>
    <row r="604" ht="15.75" customHeight="1">
      <c r="A604" s="34"/>
      <c r="G604" s="43"/>
    </row>
    <row r="605" ht="15.75" customHeight="1">
      <c r="A605" s="34"/>
      <c r="G605" s="43"/>
    </row>
    <row r="606" ht="15.75" customHeight="1">
      <c r="A606" s="34"/>
      <c r="G606" s="43"/>
    </row>
    <row r="607" ht="15.75" customHeight="1">
      <c r="A607" s="34"/>
      <c r="G607" s="43"/>
    </row>
    <row r="608" ht="15.75" customHeight="1">
      <c r="A608" s="34"/>
      <c r="G608" s="43"/>
    </row>
    <row r="609" ht="15.75" customHeight="1">
      <c r="A609" s="34"/>
      <c r="G609" s="43"/>
    </row>
    <row r="610" ht="15.75" customHeight="1">
      <c r="A610" s="34"/>
      <c r="G610" s="43"/>
    </row>
    <row r="611" ht="15.75" customHeight="1">
      <c r="A611" s="34"/>
      <c r="G611" s="43"/>
    </row>
    <row r="612" ht="15.75" customHeight="1">
      <c r="A612" s="34"/>
      <c r="G612" s="43"/>
    </row>
    <row r="613" ht="15.75" customHeight="1">
      <c r="A613" s="34"/>
      <c r="G613" s="43"/>
    </row>
    <row r="614" ht="15.75" customHeight="1">
      <c r="A614" s="34"/>
      <c r="G614" s="43"/>
    </row>
    <row r="615" ht="15.75" customHeight="1">
      <c r="A615" s="34"/>
      <c r="G615" s="43"/>
    </row>
    <row r="616" ht="15.75" customHeight="1">
      <c r="A616" s="34"/>
      <c r="G616" s="43"/>
    </row>
    <row r="617" ht="15.75" customHeight="1">
      <c r="A617" s="34"/>
      <c r="G617" s="43"/>
    </row>
    <row r="618" ht="15.75" customHeight="1">
      <c r="A618" s="34"/>
      <c r="G618" s="43"/>
    </row>
    <row r="619" ht="15.75" customHeight="1">
      <c r="A619" s="34"/>
      <c r="G619" s="43"/>
    </row>
    <row r="620" ht="15.75" customHeight="1">
      <c r="A620" s="34"/>
      <c r="G620" s="43"/>
    </row>
    <row r="621" ht="15.75" customHeight="1">
      <c r="A621" s="34"/>
      <c r="G621" s="43"/>
    </row>
    <row r="622" ht="15.75" customHeight="1">
      <c r="A622" s="34"/>
      <c r="G622" s="43"/>
    </row>
    <row r="623" ht="15.75" customHeight="1">
      <c r="A623" s="34"/>
      <c r="G623" s="43"/>
    </row>
    <row r="624" ht="15.75" customHeight="1">
      <c r="A624" s="34"/>
      <c r="G624" s="43"/>
    </row>
    <row r="625" ht="15.75" customHeight="1">
      <c r="A625" s="34"/>
      <c r="G625" s="43"/>
    </row>
    <row r="626" ht="15.75" customHeight="1">
      <c r="A626" s="34"/>
      <c r="G626" s="43"/>
    </row>
    <row r="627" ht="15.75" customHeight="1">
      <c r="A627" s="34"/>
      <c r="G627" s="43"/>
    </row>
    <row r="628" ht="15.75" customHeight="1">
      <c r="A628" s="34"/>
      <c r="G628" s="43"/>
    </row>
    <row r="629" ht="15.75" customHeight="1">
      <c r="A629" s="34"/>
      <c r="G629" s="43"/>
    </row>
    <row r="630" ht="15.75" customHeight="1">
      <c r="A630" s="34"/>
      <c r="G630" s="43"/>
    </row>
    <row r="631" ht="15.75" customHeight="1">
      <c r="A631" s="34"/>
      <c r="G631" s="43"/>
    </row>
    <row r="632" ht="15.75" customHeight="1">
      <c r="A632" s="34"/>
      <c r="G632" s="43"/>
    </row>
    <row r="633" ht="15.75" customHeight="1">
      <c r="A633" s="34"/>
      <c r="G633" s="43"/>
    </row>
    <row r="634" ht="15.75" customHeight="1">
      <c r="A634" s="34"/>
      <c r="G634" s="43"/>
    </row>
    <row r="635" ht="15.75" customHeight="1">
      <c r="A635" s="34"/>
      <c r="G635" s="43"/>
    </row>
    <row r="636" ht="15.75" customHeight="1">
      <c r="A636" s="34"/>
      <c r="G636" s="43"/>
    </row>
    <row r="637" ht="15.75" customHeight="1">
      <c r="A637" s="34"/>
      <c r="G637" s="43"/>
    </row>
    <row r="638" ht="15.75" customHeight="1">
      <c r="A638" s="34"/>
      <c r="G638" s="43"/>
    </row>
    <row r="639" ht="15.75" customHeight="1">
      <c r="A639" s="34"/>
      <c r="G639" s="43"/>
    </row>
    <row r="640" ht="15.75" customHeight="1">
      <c r="A640" s="34"/>
      <c r="G640" s="43"/>
    </row>
    <row r="641" ht="15.75" customHeight="1">
      <c r="A641" s="34"/>
      <c r="G641" s="43"/>
    </row>
    <row r="642" ht="15.75" customHeight="1">
      <c r="A642" s="34"/>
      <c r="G642" s="43"/>
    </row>
    <row r="643" ht="15.75" customHeight="1">
      <c r="A643" s="34"/>
      <c r="G643" s="43"/>
    </row>
    <row r="644" ht="15.75" customHeight="1">
      <c r="A644" s="34"/>
      <c r="G644" s="43"/>
    </row>
    <row r="645" ht="15.75" customHeight="1">
      <c r="A645" s="34"/>
      <c r="G645" s="43"/>
    </row>
    <row r="646" ht="15.75" customHeight="1">
      <c r="A646" s="34"/>
      <c r="G646" s="43"/>
    </row>
    <row r="647" ht="15.75" customHeight="1">
      <c r="A647" s="34"/>
      <c r="G647" s="43"/>
    </row>
    <row r="648" ht="15.75" customHeight="1">
      <c r="A648" s="34"/>
      <c r="G648" s="43"/>
    </row>
    <row r="649" ht="15.75" customHeight="1">
      <c r="A649" s="34"/>
      <c r="G649" s="43"/>
    </row>
    <row r="650" ht="15.75" customHeight="1">
      <c r="A650" s="34"/>
      <c r="G650" s="43"/>
    </row>
    <row r="651" ht="15.75" customHeight="1">
      <c r="A651" s="34"/>
      <c r="G651" s="43"/>
    </row>
    <row r="652" ht="15.75" customHeight="1">
      <c r="A652" s="34"/>
      <c r="G652" s="43"/>
    </row>
    <row r="653" ht="15.75" customHeight="1">
      <c r="A653" s="34"/>
      <c r="G653" s="43"/>
    </row>
    <row r="654" ht="15.75" customHeight="1">
      <c r="A654" s="34"/>
      <c r="G654" s="43"/>
    </row>
    <row r="655" ht="15.75" customHeight="1">
      <c r="A655" s="34"/>
      <c r="G655" s="43"/>
    </row>
    <row r="656" ht="15.75" customHeight="1">
      <c r="A656" s="34"/>
      <c r="G656" s="43"/>
    </row>
    <row r="657" ht="15.75" customHeight="1">
      <c r="A657" s="34"/>
      <c r="G657" s="43"/>
    </row>
    <row r="658" ht="15.75" customHeight="1">
      <c r="A658" s="34"/>
      <c r="G658" s="43"/>
    </row>
    <row r="659" ht="15.75" customHeight="1">
      <c r="A659" s="34"/>
      <c r="G659" s="43"/>
    </row>
    <row r="660" ht="15.75" customHeight="1">
      <c r="A660" s="34"/>
      <c r="G660" s="43"/>
    </row>
    <row r="661" ht="15.75" customHeight="1">
      <c r="A661" s="34"/>
      <c r="G661" s="43"/>
    </row>
    <row r="662" ht="15.75" customHeight="1">
      <c r="A662" s="34"/>
      <c r="G662" s="43"/>
    </row>
    <row r="663" ht="15.75" customHeight="1">
      <c r="A663" s="34"/>
      <c r="G663" s="43"/>
    </row>
    <row r="664" ht="15.75" customHeight="1">
      <c r="A664" s="34"/>
      <c r="G664" s="43"/>
    </row>
    <row r="665" ht="15.75" customHeight="1">
      <c r="A665" s="34"/>
      <c r="G665" s="43"/>
    </row>
    <row r="666" ht="15.75" customHeight="1">
      <c r="A666" s="34"/>
      <c r="G666" s="43"/>
    </row>
    <row r="667" ht="15.75" customHeight="1">
      <c r="A667" s="34"/>
      <c r="G667" s="43"/>
    </row>
    <row r="668" ht="15.75" customHeight="1">
      <c r="A668" s="34"/>
      <c r="G668" s="43"/>
    </row>
    <row r="669" ht="15.75" customHeight="1">
      <c r="A669" s="34"/>
      <c r="G669" s="43"/>
    </row>
    <row r="670" ht="15.75" customHeight="1">
      <c r="A670" s="34"/>
      <c r="G670" s="43"/>
    </row>
    <row r="671" ht="15.75" customHeight="1">
      <c r="A671" s="34"/>
      <c r="G671" s="43"/>
    </row>
    <row r="672" ht="15.75" customHeight="1">
      <c r="A672" s="34"/>
      <c r="G672" s="43"/>
    </row>
    <row r="673" ht="15.75" customHeight="1">
      <c r="A673" s="34"/>
      <c r="G673" s="43"/>
    </row>
    <row r="674" ht="15.75" customHeight="1">
      <c r="A674" s="34"/>
      <c r="G674" s="43"/>
    </row>
    <row r="675" ht="15.75" customHeight="1">
      <c r="A675" s="34"/>
      <c r="G675" s="43"/>
    </row>
    <row r="676" ht="15.75" customHeight="1">
      <c r="A676" s="34"/>
      <c r="G676" s="43"/>
    </row>
    <row r="677" ht="15.75" customHeight="1">
      <c r="A677" s="34"/>
      <c r="G677" s="43"/>
    </row>
    <row r="678" ht="15.75" customHeight="1">
      <c r="A678" s="34"/>
      <c r="G678" s="43"/>
    </row>
    <row r="679" ht="15.75" customHeight="1">
      <c r="A679" s="34"/>
      <c r="G679" s="43"/>
    </row>
    <row r="680" ht="15.75" customHeight="1">
      <c r="A680" s="34"/>
      <c r="G680" s="43"/>
    </row>
    <row r="681" ht="15.75" customHeight="1">
      <c r="A681" s="34"/>
      <c r="G681" s="43"/>
    </row>
    <row r="682" ht="15.75" customHeight="1">
      <c r="A682" s="34"/>
      <c r="G682" s="43"/>
    </row>
    <row r="683" ht="15.75" customHeight="1">
      <c r="A683" s="34"/>
      <c r="G683" s="43"/>
    </row>
    <row r="684" ht="15.75" customHeight="1">
      <c r="A684" s="34"/>
      <c r="G684" s="43"/>
    </row>
    <row r="685" ht="15.75" customHeight="1">
      <c r="A685" s="34"/>
      <c r="G685" s="43"/>
    </row>
    <row r="686" ht="15.75" customHeight="1">
      <c r="A686" s="34"/>
      <c r="G686" s="43"/>
    </row>
    <row r="687" ht="15.75" customHeight="1">
      <c r="A687" s="34"/>
      <c r="G687" s="43"/>
    </row>
    <row r="688" ht="15.75" customHeight="1">
      <c r="A688" s="34"/>
      <c r="G688" s="43"/>
    </row>
    <row r="689" ht="15.75" customHeight="1">
      <c r="A689" s="34"/>
      <c r="G689" s="43"/>
    </row>
    <row r="690" ht="15.75" customHeight="1">
      <c r="A690" s="34"/>
      <c r="G690" s="43"/>
    </row>
    <row r="691" ht="15.75" customHeight="1">
      <c r="A691" s="34"/>
      <c r="G691" s="43"/>
    </row>
    <row r="692" ht="15.75" customHeight="1">
      <c r="A692" s="34"/>
      <c r="G692" s="43"/>
    </row>
    <row r="693" ht="15.75" customHeight="1">
      <c r="A693" s="34"/>
      <c r="G693" s="43"/>
    </row>
    <row r="694" ht="15.75" customHeight="1">
      <c r="A694" s="34"/>
      <c r="G694" s="43"/>
    </row>
    <row r="695" ht="15.75" customHeight="1">
      <c r="A695" s="34"/>
      <c r="G695" s="43"/>
    </row>
    <row r="696" ht="15.75" customHeight="1">
      <c r="A696" s="34"/>
      <c r="G696" s="43"/>
    </row>
    <row r="697" ht="15.75" customHeight="1">
      <c r="A697" s="34"/>
      <c r="G697" s="43"/>
    </row>
    <row r="698" ht="15.75" customHeight="1">
      <c r="A698" s="34"/>
      <c r="G698" s="43"/>
    </row>
    <row r="699" ht="15.75" customHeight="1">
      <c r="A699" s="34"/>
      <c r="G699" s="43"/>
    </row>
    <row r="700" ht="15.75" customHeight="1">
      <c r="A700" s="34"/>
      <c r="G700" s="43"/>
    </row>
    <row r="701" ht="15.75" customHeight="1">
      <c r="A701" s="34"/>
      <c r="G701" s="43"/>
    </row>
    <row r="702" ht="15.75" customHeight="1">
      <c r="A702" s="34"/>
      <c r="G702" s="43"/>
    </row>
    <row r="703" ht="15.75" customHeight="1">
      <c r="A703" s="34"/>
      <c r="G703" s="43"/>
    </row>
    <row r="704" ht="15.75" customHeight="1">
      <c r="A704" s="34"/>
      <c r="G704" s="43"/>
    </row>
    <row r="705" ht="15.75" customHeight="1">
      <c r="A705" s="34"/>
      <c r="G705" s="43"/>
    </row>
    <row r="706" ht="15.75" customHeight="1">
      <c r="A706" s="34"/>
      <c r="G706" s="43"/>
    </row>
    <row r="707" ht="15.75" customHeight="1">
      <c r="A707" s="34"/>
      <c r="G707" s="43"/>
    </row>
    <row r="708" ht="15.75" customHeight="1">
      <c r="A708" s="34"/>
      <c r="G708" s="43"/>
    </row>
    <row r="709" ht="15.75" customHeight="1">
      <c r="A709" s="34"/>
      <c r="G709" s="43"/>
    </row>
    <row r="710" ht="15.75" customHeight="1">
      <c r="A710" s="34"/>
      <c r="G710" s="43"/>
    </row>
    <row r="711" ht="15.75" customHeight="1">
      <c r="A711" s="34"/>
      <c r="G711" s="43"/>
    </row>
    <row r="712" ht="15.75" customHeight="1">
      <c r="A712" s="34"/>
      <c r="G712" s="43"/>
    </row>
    <row r="713" ht="15.75" customHeight="1">
      <c r="A713" s="34"/>
      <c r="G713" s="43"/>
    </row>
    <row r="714" ht="15.75" customHeight="1">
      <c r="A714" s="34"/>
      <c r="G714" s="43"/>
    </row>
    <row r="715" ht="15.75" customHeight="1">
      <c r="A715" s="34"/>
      <c r="G715" s="43"/>
    </row>
    <row r="716" ht="15.75" customHeight="1">
      <c r="A716" s="34"/>
      <c r="G716" s="43"/>
    </row>
    <row r="717" ht="15.75" customHeight="1">
      <c r="A717" s="34"/>
      <c r="G717" s="43"/>
    </row>
    <row r="718" ht="15.75" customHeight="1">
      <c r="A718" s="34"/>
      <c r="G718" s="43"/>
    </row>
    <row r="719" ht="15.75" customHeight="1">
      <c r="A719" s="34"/>
      <c r="G719" s="43"/>
    </row>
    <row r="720" ht="15.75" customHeight="1">
      <c r="A720" s="34"/>
      <c r="G720" s="43"/>
    </row>
    <row r="721" ht="15.75" customHeight="1">
      <c r="A721" s="34"/>
      <c r="G721" s="43"/>
    </row>
    <row r="722" ht="15.75" customHeight="1">
      <c r="A722" s="34"/>
      <c r="G722" s="43"/>
    </row>
    <row r="723" ht="15.75" customHeight="1">
      <c r="A723" s="34"/>
      <c r="G723" s="43"/>
    </row>
    <row r="724" ht="15.75" customHeight="1">
      <c r="A724" s="34"/>
      <c r="G724" s="43"/>
    </row>
    <row r="725" ht="15.75" customHeight="1">
      <c r="A725" s="34"/>
      <c r="G725" s="43"/>
    </row>
    <row r="726" ht="15.75" customHeight="1">
      <c r="A726" s="34"/>
      <c r="G726" s="43"/>
    </row>
    <row r="727" ht="15.75" customHeight="1">
      <c r="A727" s="34"/>
      <c r="G727" s="43"/>
    </row>
    <row r="728" ht="15.75" customHeight="1">
      <c r="A728" s="34"/>
      <c r="G728" s="43"/>
    </row>
    <row r="729" ht="15.75" customHeight="1">
      <c r="A729" s="34"/>
      <c r="G729" s="43"/>
    </row>
    <row r="730" ht="15.75" customHeight="1">
      <c r="A730" s="34"/>
      <c r="G730" s="43"/>
    </row>
    <row r="731" ht="15.75" customHeight="1">
      <c r="A731" s="34"/>
      <c r="G731" s="43"/>
    </row>
    <row r="732" ht="15.75" customHeight="1">
      <c r="A732" s="34"/>
      <c r="G732" s="43"/>
    </row>
    <row r="733" ht="15.75" customHeight="1">
      <c r="A733" s="34"/>
      <c r="G733" s="43"/>
    </row>
    <row r="734" ht="15.75" customHeight="1">
      <c r="A734" s="34"/>
      <c r="G734" s="43"/>
    </row>
    <row r="735" ht="15.75" customHeight="1">
      <c r="A735" s="34"/>
      <c r="G735" s="43"/>
    </row>
    <row r="736" ht="15.75" customHeight="1">
      <c r="A736" s="34"/>
      <c r="G736" s="43"/>
    </row>
    <row r="737" ht="15.75" customHeight="1">
      <c r="A737" s="34"/>
      <c r="G737" s="43"/>
    </row>
    <row r="738" ht="15.75" customHeight="1">
      <c r="A738" s="34"/>
      <c r="G738" s="43"/>
    </row>
    <row r="739" ht="15.75" customHeight="1">
      <c r="A739" s="34"/>
      <c r="G739" s="43"/>
    </row>
    <row r="740" ht="15.75" customHeight="1">
      <c r="A740" s="34"/>
      <c r="G740" s="43"/>
    </row>
    <row r="741" ht="15.75" customHeight="1">
      <c r="A741" s="34"/>
      <c r="G741" s="43"/>
    </row>
    <row r="742" ht="15.75" customHeight="1">
      <c r="A742" s="34"/>
      <c r="G742" s="43"/>
    </row>
    <row r="743" ht="15.75" customHeight="1">
      <c r="A743" s="34"/>
      <c r="G743" s="43"/>
    </row>
    <row r="744" ht="15.75" customHeight="1">
      <c r="A744" s="34"/>
      <c r="G744" s="43"/>
    </row>
    <row r="745" ht="15.75" customHeight="1">
      <c r="A745" s="34"/>
      <c r="G745" s="43"/>
    </row>
    <row r="746" ht="15.75" customHeight="1">
      <c r="A746" s="34"/>
      <c r="G746" s="43"/>
    </row>
    <row r="747" ht="15.75" customHeight="1">
      <c r="A747" s="34"/>
      <c r="G747" s="43"/>
    </row>
    <row r="748" ht="15.75" customHeight="1">
      <c r="A748" s="34"/>
      <c r="G748" s="43"/>
    </row>
    <row r="749" ht="15.75" customHeight="1">
      <c r="A749" s="34"/>
      <c r="G749" s="43"/>
    </row>
    <row r="750" ht="15.75" customHeight="1">
      <c r="A750" s="34"/>
      <c r="G750" s="43"/>
    </row>
    <row r="751" ht="15.75" customHeight="1">
      <c r="A751" s="34"/>
      <c r="G751" s="43"/>
    </row>
    <row r="752" ht="15.75" customHeight="1">
      <c r="A752" s="34"/>
      <c r="G752" s="43"/>
    </row>
    <row r="753" ht="15.75" customHeight="1">
      <c r="A753" s="34"/>
      <c r="G753" s="43"/>
    </row>
    <row r="754" ht="15.75" customHeight="1">
      <c r="A754" s="34"/>
      <c r="G754" s="43"/>
    </row>
    <row r="755" ht="15.75" customHeight="1">
      <c r="A755" s="34"/>
      <c r="G755" s="43"/>
    </row>
    <row r="756" ht="15.75" customHeight="1">
      <c r="A756" s="34"/>
      <c r="G756" s="43"/>
    </row>
    <row r="757" ht="15.75" customHeight="1">
      <c r="A757" s="34"/>
      <c r="G757" s="43"/>
    </row>
    <row r="758" ht="15.75" customHeight="1">
      <c r="A758" s="34"/>
      <c r="G758" s="43"/>
    </row>
    <row r="759" ht="15.75" customHeight="1">
      <c r="A759" s="34"/>
      <c r="G759" s="43"/>
    </row>
    <row r="760" ht="15.75" customHeight="1">
      <c r="A760" s="34"/>
      <c r="G760" s="43"/>
    </row>
    <row r="761" ht="15.75" customHeight="1">
      <c r="A761" s="34"/>
      <c r="G761" s="43"/>
    </row>
    <row r="762" ht="15.75" customHeight="1">
      <c r="A762" s="34"/>
      <c r="G762" s="43"/>
    </row>
    <row r="763" ht="15.75" customHeight="1">
      <c r="A763" s="34"/>
      <c r="G763" s="43"/>
    </row>
    <row r="764" ht="15.75" customHeight="1">
      <c r="A764" s="34"/>
      <c r="G764" s="43"/>
    </row>
    <row r="765" ht="15.75" customHeight="1">
      <c r="A765" s="34"/>
      <c r="G765" s="43"/>
    </row>
    <row r="766" ht="15.75" customHeight="1">
      <c r="A766" s="34"/>
      <c r="G766" s="43"/>
    </row>
    <row r="767" ht="15.75" customHeight="1">
      <c r="A767" s="34"/>
      <c r="G767" s="43"/>
    </row>
    <row r="768" ht="15.75" customHeight="1">
      <c r="A768" s="34"/>
      <c r="G768" s="43"/>
    </row>
    <row r="769" ht="15.75" customHeight="1">
      <c r="A769" s="34"/>
      <c r="G769" s="43"/>
    </row>
    <row r="770" ht="15.75" customHeight="1">
      <c r="A770" s="34"/>
      <c r="G770" s="43"/>
    </row>
    <row r="771" ht="15.75" customHeight="1">
      <c r="A771" s="34"/>
      <c r="G771" s="43"/>
    </row>
    <row r="772" ht="15.75" customHeight="1">
      <c r="A772" s="34"/>
      <c r="G772" s="43"/>
    </row>
    <row r="773" ht="15.75" customHeight="1">
      <c r="A773" s="34"/>
      <c r="G773" s="43"/>
    </row>
    <row r="774" ht="15.75" customHeight="1">
      <c r="A774" s="34"/>
      <c r="G774" s="43"/>
    </row>
    <row r="775" ht="15.75" customHeight="1">
      <c r="A775" s="34"/>
      <c r="G775" s="43"/>
    </row>
    <row r="776" ht="15.75" customHeight="1">
      <c r="A776" s="34"/>
      <c r="G776" s="43"/>
    </row>
    <row r="777" ht="15.75" customHeight="1">
      <c r="A777" s="34"/>
      <c r="G777" s="43"/>
    </row>
    <row r="778" ht="15.75" customHeight="1">
      <c r="A778" s="34"/>
      <c r="G778" s="43"/>
    </row>
    <row r="779" ht="15.75" customHeight="1">
      <c r="A779" s="34"/>
      <c r="G779" s="43"/>
    </row>
    <row r="780" ht="15.75" customHeight="1">
      <c r="A780" s="34"/>
      <c r="G780" s="43"/>
    </row>
    <row r="781" ht="15.75" customHeight="1">
      <c r="A781" s="34"/>
      <c r="G781" s="43"/>
    </row>
    <row r="782" ht="15.75" customHeight="1">
      <c r="A782" s="34"/>
      <c r="G782" s="43"/>
    </row>
    <row r="783" ht="15.75" customHeight="1">
      <c r="A783" s="34"/>
      <c r="G783" s="43"/>
    </row>
    <row r="784" ht="15.75" customHeight="1">
      <c r="A784" s="34"/>
      <c r="G784" s="43"/>
    </row>
    <row r="785" ht="15.75" customHeight="1">
      <c r="A785" s="34"/>
      <c r="G785" s="43"/>
    </row>
    <row r="786" ht="15.75" customHeight="1">
      <c r="A786" s="34"/>
      <c r="G786" s="43"/>
    </row>
    <row r="787" ht="15.75" customHeight="1">
      <c r="A787" s="34"/>
      <c r="G787" s="43"/>
    </row>
    <row r="788" ht="15.75" customHeight="1">
      <c r="A788" s="34"/>
      <c r="G788" s="43"/>
    </row>
    <row r="789" ht="15.75" customHeight="1">
      <c r="A789" s="34"/>
      <c r="G789" s="43"/>
    </row>
    <row r="790" ht="15.75" customHeight="1">
      <c r="A790" s="34"/>
      <c r="G790" s="43"/>
    </row>
    <row r="791" ht="15.75" customHeight="1">
      <c r="A791" s="34"/>
      <c r="G791" s="43"/>
    </row>
    <row r="792" ht="15.75" customHeight="1">
      <c r="A792" s="34"/>
      <c r="G792" s="43"/>
    </row>
    <row r="793" ht="15.75" customHeight="1">
      <c r="A793" s="34"/>
      <c r="G793" s="43"/>
    </row>
    <row r="794" ht="15.75" customHeight="1">
      <c r="A794" s="34"/>
      <c r="G794" s="43"/>
    </row>
    <row r="795" ht="15.75" customHeight="1">
      <c r="A795" s="34"/>
      <c r="G795" s="43"/>
    </row>
    <row r="796" ht="15.75" customHeight="1">
      <c r="A796" s="34"/>
      <c r="G796" s="43"/>
    </row>
    <row r="797" ht="15.75" customHeight="1">
      <c r="A797" s="34"/>
      <c r="G797" s="43"/>
    </row>
    <row r="798" ht="15.75" customHeight="1">
      <c r="A798" s="34"/>
      <c r="G798" s="43"/>
    </row>
    <row r="799" ht="15.75" customHeight="1">
      <c r="A799" s="34"/>
      <c r="G799" s="43"/>
    </row>
    <row r="800" ht="15.75" customHeight="1">
      <c r="A800" s="34"/>
      <c r="G800" s="43"/>
    </row>
    <row r="801" ht="15.75" customHeight="1">
      <c r="A801" s="34"/>
      <c r="G801" s="43"/>
    </row>
    <row r="802" ht="15.75" customHeight="1">
      <c r="A802" s="34"/>
      <c r="G802" s="43"/>
    </row>
    <row r="803" ht="15.75" customHeight="1">
      <c r="A803" s="34"/>
      <c r="G803" s="43"/>
    </row>
    <row r="804" ht="15.75" customHeight="1">
      <c r="A804" s="34"/>
      <c r="G804" s="43"/>
    </row>
    <row r="805" ht="15.75" customHeight="1">
      <c r="A805" s="34"/>
      <c r="G805" s="43"/>
    </row>
    <row r="806" ht="15.75" customHeight="1">
      <c r="A806" s="34"/>
      <c r="G806" s="43"/>
    </row>
    <row r="807" ht="15.75" customHeight="1">
      <c r="A807" s="34"/>
      <c r="G807" s="43"/>
    </row>
    <row r="808" ht="15.75" customHeight="1">
      <c r="A808" s="34"/>
      <c r="G808" s="43"/>
    </row>
    <row r="809" ht="15.75" customHeight="1">
      <c r="A809" s="34"/>
      <c r="G809" s="43"/>
    </row>
    <row r="810" ht="15.75" customHeight="1">
      <c r="A810" s="34"/>
      <c r="G810" s="43"/>
    </row>
    <row r="811" ht="15.75" customHeight="1">
      <c r="A811" s="34"/>
      <c r="G811" s="43"/>
    </row>
    <row r="812" ht="15.75" customHeight="1">
      <c r="A812" s="34"/>
      <c r="G812" s="43"/>
    </row>
    <row r="813" ht="15.75" customHeight="1">
      <c r="A813" s="34"/>
      <c r="G813" s="43"/>
    </row>
    <row r="814" ht="15.75" customHeight="1">
      <c r="A814" s="34"/>
      <c r="G814" s="43"/>
    </row>
    <row r="815" ht="15.75" customHeight="1">
      <c r="A815" s="34"/>
      <c r="G815" s="43"/>
    </row>
    <row r="816" ht="15.75" customHeight="1">
      <c r="A816" s="34"/>
      <c r="G816" s="43"/>
    </row>
    <row r="817" ht="15.75" customHeight="1">
      <c r="A817" s="34"/>
      <c r="G817" s="43"/>
    </row>
    <row r="818" ht="15.75" customHeight="1">
      <c r="A818" s="34"/>
      <c r="G818" s="43"/>
    </row>
    <row r="819" ht="15.75" customHeight="1">
      <c r="A819" s="34"/>
      <c r="G819" s="43"/>
    </row>
    <row r="820" ht="15.75" customHeight="1">
      <c r="A820" s="34"/>
      <c r="G820" s="43"/>
    </row>
    <row r="821" ht="15.75" customHeight="1">
      <c r="A821" s="34"/>
      <c r="G821" s="43"/>
    </row>
    <row r="822" ht="15.75" customHeight="1">
      <c r="A822" s="34"/>
      <c r="G822" s="43"/>
    </row>
    <row r="823" ht="15.75" customHeight="1">
      <c r="A823" s="34"/>
      <c r="G823" s="43"/>
    </row>
    <row r="824" ht="15.75" customHeight="1">
      <c r="A824" s="34"/>
      <c r="G824" s="43"/>
    </row>
    <row r="825" ht="15.75" customHeight="1">
      <c r="A825" s="34"/>
      <c r="G825" s="43"/>
    </row>
    <row r="826" ht="15.75" customHeight="1">
      <c r="A826" s="34"/>
      <c r="G826" s="43"/>
    </row>
    <row r="827" ht="15.75" customHeight="1">
      <c r="A827" s="34"/>
      <c r="G827" s="43"/>
    </row>
    <row r="828" ht="15.75" customHeight="1">
      <c r="A828" s="34"/>
      <c r="G828" s="43"/>
    </row>
    <row r="829" ht="15.75" customHeight="1">
      <c r="A829" s="34"/>
      <c r="G829" s="43"/>
    </row>
    <row r="830" ht="15.75" customHeight="1">
      <c r="A830" s="34"/>
      <c r="G830" s="43"/>
    </row>
    <row r="831" ht="15.75" customHeight="1">
      <c r="A831" s="34"/>
      <c r="G831" s="43"/>
    </row>
    <row r="832" ht="15.75" customHeight="1">
      <c r="A832" s="34"/>
      <c r="G832" s="43"/>
    </row>
    <row r="833" ht="15.75" customHeight="1">
      <c r="A833" s="34"/>
      <c r="G833" s="43"/>
    </row>
    <row r="834" ht="15.75" customHeight="1">
      <c r="A834" s="34"/>
      <c r="G834" s="43"/>
    </row>
    <row r="835" ht="15.75" customHeight="1">
      <c r="A835" s="34"/>
      <c r="G835" s="43"/>
    </row>
    <row r="836" ht="15.75" customHeight="1">
      <c r="A836" s="34"/>
      <c r="G836" s="43"/>
    </row>
    <row r="837" ht="15.75" customHeight="1">
      <c r="A837" s="34"/>
      <c r="G837" s="43"/>
    </row>
    <row r="838" ht="15.75" customHeight="1">
      <c r="A838" s="34"/>
      <c r="G838" s="43"/>
    </row>
    <row r="839" ht="15.75" customHeight="1">
      <c r="A839" s="34"/>
      <c r="G839" s="43"/>
    </row>
    <row r="840" ht="15.75" customHeight="1">
      <c r="A840" s="34"/>
      <c r="G840" s="43"/>
    </row>
    <row r="841" ht="15.75" customHeight="1">
      <c r="A841" s="34"/>
      <c r="G841" s="43"/>
    </row>
    <row r="842" ht="15.75" customHeight="1">
      <c r="A842" s="34"/>
      <c r="G842" s="43"/>
    </row>
    <row r="843" ht="15.75" customHeight="1">
      <c r="A843" s="34"/>
      <c r="G843" s="43"/>
    </row>
    <row r="844" ht="15.75" customHeight="1">
      <c r="A844" s="34"/>
      <c r="G844" s="43"/>
    </row>
    <row r="845" ht="15.75" customHeight="1">
      <c r="A845" s="34"/>
      <c r="G845" s="43"/>
    </row>
    <row r="846" ht="15.75" customHeight="1">
      <c r="A846" s="34"/>
      <c r="G846" s="43"/>
    </row>
    <row r="847" ht="15.75" customHeight="1">
      <c r="A847" s="34"/>
      <c r="G847" s="43"/>
    </row>
    <row r="848" ht="15.75" customHeight="1">
      <c r="A848" s="34"/>
      <c r="G848" s="43"/>
    </row>
    <row r="849" ht="15.75" customHeight="1">
      <c r="A849" s="34"/>
      <c r="G849" s="43"/>
    </row>
    <row r="850" ht="15.75" customHeight="1">
      <c r="A850" s="34"/>
      <c r="G850" s="43"/>
    </row>
    <row r="851" ht="15.75" customHeight="1">
      <c r="A851" s="34"/>
      <c r="G851" s="43"/>
    </row>
    <row r="852" ht="15.75" customHeight="1">
      <c r="A852" s="34"/>
      <c r="G852" s="43"/>
    </row>
    <row r="853" ht="15.75" customHeight="1">
      <c r="A853" s="34"/>
      <c r="G853" s="43"/>
    </row>
    <row r="854" ht="15.75" customHeight="1">
      <c r="A854" s="34"/>
      <c r="G854" s="43"/>
    </row>
    <row r="855" ht="15.75" customHeight="1">
      <c r="A855" s="34"/>
      <c r="G855" s="43"/>
    </row>
    <row r="856" ht="15.75" customHeight="1">
      <c r="A856" s="34"/>
      <c r="G856" s="43"/>
    </row>
    <row r="857" ht="15.75" customHeight="1">
      <c r="A857" s="34"/>
      <c r="G857" s="43"/>
    </row>
    <row r="858" ht="15.75" customHeight="1">
      <c r="A858" s="34"/>
      <c r="G858" s="43"/>
    </row>
    <row r="859" ht="15.75" customHeight="1">
      <c r="A859" s="34"/>
      <c r="G859" s="43"/>
    </row>
    <row r="860" ht="15.75" customHeight="1">
      <c r="A860" s="34"/>
      <c r="G860" s="43"/>
    </row>
    <row r="861" ht="15.75" customHeight="1">
      <c r="A861" s="34"/>
      <c r="G861" s="43"/>
    </row>
    <row r="862" ht="15.75" customHeight="1">
      <c r="A862" s="34"/>
      <c r="G862" s="43"/>
    </row>
    <row r="863" ht="15.75" customHeight="1">
      <c r="A863" s="34"/>
      <c r="G863" s="43"/>
    </row>
    <row r="864" ht="15.75" customHeight="1">
      <c r="A864" s="34"/>
      <c r="G864" s="43"/>
    </row>
    <row r="865" ht="15.75" customHeight="1">
      <c r="A865" s="34"/>
      <c r="G865" s="43"/>
    </row>
    <row r="866" ht="15.75" customHeight="1">
      <c r="A866" s="34"/>
      <c r="G866" s="43"/>
    </row>
    <row r="867" ht="15.75" customHeight="1">
      <c r="A867" s="34"/>
      <c r="G867" s="43"/>
    </row>
    <row r="868" ht="15.75" customHeight="1">
      <c r="A868" s="34"/>
      <c r="G868" s="43"/>
    </row>
    <row r="869" ht="15.75" customHeight="1">
      <c r="A869" s="34"/>
      <c r="G869" s="43"/>
    </row>
    <row r="870" ht="15.75" customHeight="1">
      <c r="A870" s="34"/>
      <c r="G870" s="43"/>
    </row>
    <row r="871" ht="15.75" customHeight="1">
      <c r="A871" s="34"/>
      <c r="G871" s="43"/>
    </row>
    <row r="872" ht="15.75" customHeight="1">
      <c r="A872" s="34"/>
      <c r="G872" s="43"/>
    </row>
    <row r="873" ht="15.75" customHeight="1">
      <c r="A873" s="34"/>
      <c r="G873" s="43"/>
    </row>
    <row r="874" ht="15.75" customHeight="1">
      <c r="A874" s="34"/>
      <c r="G874" s="43"/>
    </row>
    <row r="875" ht="15.75" customHeight="1">
      <c r="A875" s="34"/>
      <c r="G875" s="43"/>
    </row>
    <row r="876" ht="15.75" customHeight="1">
      <c r="A876" s="34"/>
      <c r="G876" s="43"/>
    </row>
    <row r="877" ht="15.75" customHeight="1">
      <c r="A877" s="34"/>
      <c r="G877" s="43"/>
    </row>
    <row r="878" ht="15.75" customHeight="1">
      <c r="A878" s="34"/>
      <c r="G878" s="43"/>
    </row>
    <row r="879" ht="15.75" customHeight="1">
      <c r="A879" s="34"/>
      <c r="G879" s="43"/>
    </row>
    <row r="880" ht="15.75" customHeight="1">
      <c r="A880" s="34"/>
      <c r="G880" s="43"/>
    </row>
    <row r="881" ht="15.75" customHeight="1">
      <c r="A881" s="34"/>
      <c r="G881" s="43"/>
    </row>
    <row r="882" ht="15.75" customHeight="1">
      <c r="A882" s="34"/>
      <c r="G882" s="43"/>
    </row>
    <row r="883" ht="15.75" customHeight="1">
      <c r="A883" s="34"/>
      <c r="G883" s="43"/>
    </row>
    <row r="884" ht="15.75" customHeight="1">
      <c r="A884" s="34"/>
      <c r="G884" s="43"/>
    </row>
    <row r="885" ht="15.75" customHeight="1">
      <c r="A885" s="34"/>
      <c r="G885" s="43"/>
    </row>
    <row r="886" ht="15.75" customHeight="1">
      <c r="A886" s="34"/>
      <c r="G886" s="43"/>
    </row>
    <row r="887" ht="15.75" customHeight="1">
      <c r="A887" s="34"/>
      <c r="G887" s="43"/>
    </row>
    <row r="888" ht="15.75" customHeight="1">
      <c r="A888" s="34"/>
      <c r="G888" s="43"/>
    </row>
    <row r="889" ht="15.75" customHeight="1">
      <c r="A889" s="34"/>
      <c r="G889" s="43"/>
    </row>
    <row r="890" ht="15.75" customHeight="1">
      <c r="A890" s="34"/>
      <c r="G890" s="43"/>
    </row>
    <row r="891" ht="15.75" customHeight="1">
      <c r="A891" s="34"/>
      <c r="G891" s="43"/>
    </row>
    <row r="892" ht="15.75" customHeight="1">
      <c r="A892" s="34"/>
      <c r="G892" s="43"/>
    </row>
    <row r="893" ht="15.75" customHeight="1">
      <c r="A893" s="34"/>
      <c r="G893" s="43"/>
    </row>
    <row r="894" ht="15.75" customHeight="1">
      <c r="A894" s="34"/>
      <c r="G894" s="43"/>
    </row>
    <row r="895" ht="15.75" customHeight="1">
      <c r="A895" s="34"/>
      <c r="G895" s="43"/>
    </row>
    <row r="896" ht="15.75" customHeight="1">
      <c r="A896" s="34"/>
      <c r="G896" s="43"/>
    </row>
    <row r="897" ht="15.75" customHeight="1">
      <c r="A897" s="34"/>
      <c r="G897" s="43"/>
    </row>
    <row r="898" ht="15.75" customHeight="1">
      <c r="A898" s="34"/>
      <c r="G898" s="43"/>
    </row>
    <row r="899" ht="15.75" customHeight="1">
      <c r="A899" s="34"/>
      <c r="G899" s="43"/>
    </row>
    <row r="900" ht="15.75" customHeight="1">
      <c r="A900" s="34"/>
      <c r="G900" s="43"/>
    </row>
    <row r="901" ht="15.75" customHeight="1">
      <c r="A901" s="34"/>
      <c r="G901" s="43"/>
    </row>
    <row r="902" ht="15.75" customHeight="1">
      <c r="A902" s="34"/>
      <c r="G902" s="43"/>
    </row>
    <row r="903" ht="15.75" customHeight="1">
      <c r="A903" s="34"/>
      <c r="G903" s="43"/>
    </row>
    <row r="904" ht="15.75" customHeight="1">
      <c r="A904" s="34"/>
      <c r="G904" s="43"/>
    </row>
    <row r="905" ht="15.75" customHeight="1">
      <c r="A905" s="34"/>
      <c r="G905" s="43"/>
    </row>
    <row r="906" ht="15.75" customHeight="1">
      <c r="A906" s="34"/>
      <c r="G906" s="43"/>
    </row>
    <row r="907" ht="15.75" customHeight="1">
      <c r="A907" s="34"/>
      <c r="G907" s="43"/>
    </row>
    <row r="908" ht="15.75" customHeight="1">
      <c r="A908" s="34"/>
      <c r="G908" s="43"/>
    </row>
    <row r="909" ht="15.75" customHeight="1">
      <c r="A909" s="34"/>
      <c r="G909" s="43"/>
    </row>
    <row r="910" ht="15.75" customHeight="1">
      <c r="A910" s="34"/>
      <c r="G910" s="43"/>
    </row>
    <row r="911" ht="15.75" customHeight="1">
      <c r="A911" s="34"/>
      <c r="G911" s="43"/>
    </row>
    <row r="912" ht="15.75" customHeight="1">
      <c r="A912" s="34"/>
      <c r="G912" s="43"/>
    </row>
    <row r="913" ht="15.75" customHeight="1">
      <c r="A913" s="34"/>
      <c r="G913" s="43"/>
    </row>
    <row r="914" ht="15.75" customHeight="1">
      <c r="A914" s="34"/>
      <c r="G914" s="43"/>
    </row>
    <row r="915" ht="15.75" customHeight="1">
      <c r="A915" s="34"/>
      <c r="G915" s="43"/>
    </row>
    <row r="916" ht="15.75" customHeight="1">
      <c r="A916" s="34"/>
      <c r="G916" s="43"/>
    </row>
    <row r="917" ht="15.75" customHeight="1">
      <c r="A917" s="34"/>
      <c r="G917" s="43"/>
    </row>
    <row r="918" ht="15.75" customHeight="1">
      <c r="A918" s="34"/>
      <c r="G918" s="43"/>
    </row>
    <row r="919" ht="15.75" customHeight="1">
      <c r="A919" s="34"/>
      <c r="G919" s="43"/>
    </row>
    <row r="920" ht="15.75" customHeight="1">
      <c r="A920" s="34"/>
      <c r="G920" s="43"/>
    </row>
    <row r="921" ht="15.75" customHeight="1">
      <c r="A921" s="34"/>
      <c r="G921" s="43"/>
    </row>
    <row r="922" ht="15.75" customHeight="1">
      <c r="A922" s="34"/>
      <c r="G922" s="43"/>
    </row>
    <row r="923" ht="15.75" customHeight="1">
      <c r="A923" s="34"/>
      <c r="G923" s="43"/>
    </row>
    <row r="924" ht="15.75" customHeight="1">
      <c r="A924" s="34"/>
      <c r="G924" s="43"/>
    </row>
    <row r="925" ht="15.75" customHeight="1">
      <c r="A925" s="34"/>
      <c r="G925" s="43"/>
    </row>
    <row r="926" ht="15.75" customHeight="1">
      <c r="A926" s="34"/>
      <c r="G926" s="43"/>
    </row>
    <row r="927" ht="15.75" customHeight="1">
      <c r="A927" s="34"/>
      <c r="G927" s="43"/>
    </row>
    <row r="928" ht="15.75" customHeight="1">
      <c r="A928" s="34"/>
      <c r="G928" s="43"/>
    </row>
    <row r="929" ht="15.75" customHeight="1">
      <c r="A929" s="34"/>
      <c r="G929" s="43"/>
    </row>
    <row r="930" ht="15.75" customHeight="1">
      <c r="A930" s="34"/>
      <c r="G930" s="43"/>
    </row>
    <row r="931" ht="15.75" customHeight="1">
      <c r="A931" s="34"/>
      <c r="G931" s="43"/>
    </row>
    <row r="932" ht="15.75" customHeight="1">
      <c r="A932" s="34"/>
      <c r="G932" s="43"/>
    </row>
    <row r="933" ht="15.75" customHeight="1">
      <c r="A933" s="34"/>
      <c r="G933" s="43"/>
    </row>
    <row r="934" ht="15.75" customHeight="1">
      <c r="A934" s="34"/>
      <c r="G934" s="43"/>
    </row>
    <row r="935" ht="15.75" customHeight="1">
      <c r="A935" s="34"/>
      <c r="G935" s="43"/>
    </row>
    <row r="936" ht="15.75" customHeight="1">
      <c r="A936" s="34"/>
      <c r="G936" s="43"/>
    </row>
    <row r="937" ht="15.75" customHeight="1">
      <c r="A937" s="34"/>
      <c r="G937" s="43"/>
    </row>
    <row r="938" ht="15.75" customHeight="1">
      <c r="A938" s="34"/>
      <c r="G938" s="43"/>
    </row>
    <row r="939" ht="15.75" customHeight="1">
      <c r="A939" s="34"/>
      <c r="G939" s="43"/>
    </row>
    <row r="940" ht="15.75" customHeight="1">
      <c r="A940" s="34"/>
      <c r="G940" s="43"/>
    </row>
    <row r="941" ht="15.75" customHeight="1">
      <c r="A941" s="34"/>
      <c r="G941" s="43"/>
    </row>
    <row r="942" ht="15.75" customHeight="1">
      <c r="A942" s="34"/>
      <c r="G942" s="43"/>
    </row>
    <row r="943" ht="15.75" customHeight="1">
      <c r="A943" s="34"/>
      <c r="G943" s="43"/>
    </row>
    <row r="944" ht="15.75" customHeight="1">
      <c r="A944" s="34"/>
      <c r="G944" s="43"/>
    </row>
    <row r="945" ht="15.75" customHeight="1">
      <c r="A945" s="34"/>
      <c r="G945" s="43"/>
    </row>
    <row r="946" ht="15.75" customHeight="1">
      <c r="A946" s="34"/>
      <c r="G946" s="43"/>
    </row>
    <row r="947" ht="15.75" customHeight="1">
      <c r="A947" s="34"/>
      <c r="G947" s="43"/>
    </row>
    <row r="948" ht="15.75" customHeight="1">
      <c r="A948" s="34"/>
      <c r="G948" s="43"/>
    </row>
    <row r="949" ht="15.75" customHeight="1">
      <c r="A949" s="34"/>
      <c r="G949" s="43"/>
    </row>
    <row r="950" ht="15.75" customHeight="1">
      <c r="A950" s="34"/>
      <c r="G950" s="43"/>
    </row>
    <row r="951" ht="15.75" customHeight="1">
      <c r="A951" s="34"/>
      <c r="G951" s="43"/>
    </row>
    <row r="952" ht="15.75" customHeight="1">
      <c r="A952" s="34"/>
      <c r="G952" s="43"/>
    </row>
    <row r="953" ht="15.75" customHeight="1">
      <c r="A953" s="34"/>
      <c r="G953" s="43"/>
    </row>
    <row r="954" ht="15.75" customHeight="1">
      <c r="A954" s="34"/>
      <c r="G954" s="43"/>
    </row>
    <row r="955" ht="15.75" customHeight="1">
      <c r="A955" s="34"/>
      <c r="G955" s="43"/>
    </row>
    <row r="956" ht="15.75" customHeight="1">
      <c r="A956" s="34"/>
      <c r="G956" s="43"/>
    </row>
    <row r="957" ht="15.75" customHeight="1">
      <c r="A957" s="34"/>
      <c r="G957" s="43"/>
    </row>
    <row r="958" ht="15.75" customHeight="1">
      <c r="A958" s="34"/>
      <c r="G958" s="43"/>
    </row>
    <row r="959" ht="15.75" customHeight="1">
      <c r="A959" s="34"/>
      <c r="G959" s="43"/>
    </row>
    <row r="960" ht="15.75" customHeight="1">
      <c r="A960" s="34"/>
      <c r="G960" s="43"/>
    </row>
    <row r="961" ht="15.75" customHeight="1">
      <c r="A961" s="34"/>
      <c r="G961" s="43"/>
    </row>
    <row r="962" ht="15.75" customHeight="1">
      <c r="A962" s="34"/>
      <c r="G962" s="43"/>
    </row>
    <row r="963" ht="15.75" customHeight="1">
      <c r="A963" s="34"/>
      <c r="G963" s="43"/>
    </row>
    <row r="964" ht="15.75" customHeight="1">
      <c r="A964" s="34"/>
      <c r="G964" s="43"/>
    </row>
    <row r="965" ht="15.75" customHeight="1">
      <c r="A965" s="34"/>
      <c r="G965" s="43"/>
    </row>
    <row r="966" ht="15.75" customHeight="1">
      <c r="A966" s="34"/>
      <c r="G966" s="43"/>
    </row>
    <row r="967" ht="15.75" customHeight="1">
      <c r="A967" s="34"/>
      <c r="G967" s="43"/>
    </row>
    <row r="968" ht="15.75" customHeight="1">
      <c r="A968" s="34"/>
      <c r="G968" s="43"/>
    </row>
    <row r="969" ht="15.75" customHeight="1">
      <c r="A969" s="34"/>
      <c r="G969" s="43"/>
    </row>
    <row r="970" ht="15.75" customHeight="1">
      <c r="A970" s="34"/>
      <c r="G970" s="43"/>
    </row>
    <row r="971" ht="15.75" customHeight="1">
      <c r="A971" s="34"/>
      <c r="G971" s="43"/>
    </row>
    <row r="972" ht="15.75" customHeight="1">
      <c r="A972" s="34"/>
      <c r="G972" s="43"/>
    </row>
    <row r="973" ht="15.75" customHeight="1">
      <c r="A973" s="34"/>
      <c r="G973" s="43"/>
    </row>
    <row r="974" ht="15.75" customHeight="1">
      <c r="A974" s="34"/>
      <c r="G974" s="43"/>
    </row>
    <row r="975" ht="15.75" customHeight="1">
      <c r="A975" s="34"/>
      <c r="G975" s="43"/>
    </row>
    <row r="976" ht="15.75" customHeight="1">
      <c r="A976" s="34"/>
      <c r="G976" s="43"/>
    </row>
    <row r="977" ht="15.75" customHeight="1">
      <c r="A977" s="34"/>
      <c r="G977" s="43"/>
    </row>
    <row r="978" ht="15.75" customHeight="1">
      <c r="A978" s="34"/>
      <c r="G978" s="43"/>
    </row>
    <row r="979" ht="15.75" customHeight="1">
      <c r="A979" s="34"/>
      <c r="G979" s="43"/>
    </row>
    <row r="980" ht="15.75" customHeight="1">
      <c r="A980" s="34"/>
      <c r="G980" s="43"/>
    </row>
    <row r="981" ht="15.75" customHeight="1">
      <c r="A981" s="34"/>
      <c r="G981" s="43"/>
    </row>
    <row r="982" ht="15.75" customHeight="1">
      <c r="A982" s="34"/>
      <c r="G982" s="43"/>
    </row>
    <row r="983" ht="15.75" customHeight="1">
      <c r="A983" s="34"/>
      <c r="G983" s="43"/>
    </row>
    <row r="984" ht="15.75" customHeight="1">
      <c r="A984" s="34"/>
      <c r="G984" s="43"/>
    </row>
    <row r="985" ht="15.75" customHeight="1">
      <c r="A985" s="34"/>
      <c r="G985" s="43"/>
    </row>
    <row r="986" ht="15.75" customHeight="1">
      <c r="A986" s="34"/>
      <c r="G986" s="43"/>
    </row>
    <row r="987" ht="15.75" customHeight="1">
      <c r="A987" s="34"/>
      <c r="G987" s="43"/>
    </row>
    <row r="988" ht="15.75" customHeight="1">
      <c r="A988" s="34"/>
      <c r="G988" s="43"/>
    </row>
    <row r="989" ht="15.75" customHeight="1">
      <c r="A989" s="34"/>
      <c r="G989" s="43"/>
    </row>
    <row r="990" ht="15.75" customHeight="1">
      <c r="A990" s="34"/>
      <c r="G990" s="43"/>
    </row>
    <row r="991" ht="15.75" customHeight="1">
      <c r="A991" s="34"/>
      <c r="G991" s="43"/>
    </row>
    <row r="992" ht="15.75" customHeight="1">
      <c r="A992" s="34"/>
      <c r="G992" s="43"/>
    </row>
    <row r="993" ht="15.75" customHeight="1">
      <c r="A993" s="34"/>
      <c r="G993" s="43"/>
    </row>
    <row r="994" ht="15.75" customHeight="1">
      <c r="A994" s="34"/>
      <c r="G994" s="43"/>
    </row>
    <row r="995" ht="15.75" customHeight="1">
      <c r="A995" s="34"/>
      <c r="G995" s="43"/>
    </row>
    <row r="996" ht="15.75" customHeight="1">
      <c r="A996" s="34"/>
      <c r="G996" s="43"/>
    </row>
    <row r="997" ht="15.75" customHeight="1">
      <c r="A997" s="34"/>
      <c r="G997" s="43"/>
    </row>
    <row r="998" ht="15.75" customHeight="1">
      <c r="A998" s="34"/>
      <c r="G998" s="43"/>
    </row>
    <row r="999" ht="15.75" customHeight="1">
      <c r="A999" s="34"/>
      <c r="G999" s="43"/>
    </row>
    <row r="1000" ht="15.75" customHeight="1">
      <c r="A1000" s="34"/>
      <c r="G1000" s="43"/>
    </row>
    <row r="1001" ht="15.75" customHeight="1">
      <c r="A1001" s="34"/>
      <c r="G1001" s="43"/>
    </row>
    <row r="1002" ht="15.75" customHeight="1">
      <c r="A1002" s="34"/>
      <c r="G1002" s="43"/>
    </row>
    <row r="1003" ht="15.75" customHeight="1">
      <c r="A1003" s="34"/>
      <c r="G1003" s="43"/>
    </row>
    <row r="1004" ht="15.75" customHeight="1">
      <c r="A1004" s="34"/>
      <c r="G1004" s="43"/>
    </row>
    <row r="1005" ht="15.75" customHeight="1">
      <c r="A1005" s="34"/>
      <c r="G1005" s="43"/>
    </row>
    <row r="1006" ht="15.75" customHeight="1">
      <c r="A1006" s="34"/>
      <c r="G1006" s="43"/>
    </row>
    <row r="1007" ht="15.75" customHeight="1">
      <c r="A1007" s="34"/>
      <c r="G1007" s="43"/>
    </row>
    <row r="1008" ht="15.75" customHeight="1">
      <c r="A1008" s="34"/>
      <c r="G1008" s="43"/>
    </row>
    <row r="1009" ht="15.75" customHeight="1">
      <c r="A1009" s="34"/>
      <c r="G1009" s="43"/>
    </row>
    <row r="1010" ht="15.75" customHeight="1">
      <c r="A1010" s="34"/>
      <c r="G1010" s="43"/>
    </row>
    <row r="1011" ht="15.75" customHeight="1">
      <c r="A1011" s="34"/>
      <c r="G1011" s="43"/>
    </row>
    <row r="1012" ht="15.75" customHeight="1">
      <c r="A1012" s="34"/>
      <c r="G1012" s="43"/>
    </row>
    <row r="1013" ht="15.75" customHeight="1">
      <c r="A1013" s="34"/>
      <c r="G1013" s="43"/>
    </row>
    <row r="1014" ht="15.75" customHeight="1">
      <c r="A1014" s="34"/>
      <c r="G1014" s="43"/>
    </row>
    <row r="1015" ht="15.75" customHeight="1">
      <c r="A1015" s="34"/>
      <c r="G1015" s="43"/>
    </row>
    <row r="1016" ht="15.75" customHeight="1">
      <c r="A1016" s="34"/>
      <c r="G1016" s="43"/>
    </row>
    <row r="1017" ht="15.75" customHeight="1">
      <c r="A1017" s="34"/>
      <c r="G1017" s="43"/>
    </row>
    <row r="1018" ht="15.75" customHeight="1">
      <c r="A1018" s="34"/>
      <c r="G1018" s="43"/>
    </row>
    <row r="1019" ht="15.75" customHeight="1">
      <c r="A1019" s="34"/>
      <c r="G1019" s="43"/>
    </row>
    <row r="1020" ht="15.75" customHeight="1">
      <c r="A1020" s="34"/>
      <c r="G1020" s="43"/>
    </row>
    <row r="1021" ht="15.75" customHeight="1">
      <c r="A1021" s="34"/>
      <c r="G1021" s="43"/>
    </row>
    <row r="1022" ht="15.75" customHeight="1">
      <c r="A1022" s="34"/>
      <c r="G1022" s="43"/>
    </row>
    <row r="1023" ht="15.75" customHeight="1">
      <c r="A1023" s="34"/>
      <c r="G1023" s="43"/>
    </row>
    <row r="1024" ht="15.75" customHeight="1">
      <c r="A1024" s="34"/>
      <c r="G1024" s="43"/>
    </row>
    <row r="1025" ht="15.75" customHeight="1">
      <c r="A1025" s="34"/>
      <c r="G1025" s="43"/>
    </row>
    <row r="1026" ht="15.75" customHeight="1">
      <c r="A1026" s="34"/>
      <c r="G1026" s="43"/>
    </row>
    <row r="1027" ht="15.75" customHeight="1">
      <c r="A1027" s="34"/>
      <c r="G1027" s="43"/>
    </row>
    <row r="1028" ht="15.75" customHeight="1">
      <c r="A1028" s="34"/>
      <c r="G1028" s="43"/>
    </row>
    <row r="1029" ht="15.75" customHeight="1">
      <c r="A1029" s="34"/>
      <c r="G1029" s="43"/>
    </row>
    <row r="1030" ht="15.75" customHeight="1">
      <c r="A1030" s="34"/>
      <c r="G1030" s="43"/>
    </row>
    <row r="1031" ht="15.75" customHeight="1">
      <c r="A1031" s="34"/>
      <c r="G1031" s="43"/>
    </row>
    <row r="1032" ht="15.75" customHeight="1">
      <c r="A1032" s="34"/>
      <c r="G1032" s="43"/>
    </row>
    <row r="1033" ht="15.75" customHeight="1">
      <c r="A1033" s="34"/>
      <c r="G1033" s="43"/>
    </row>
    <row r="1034" ht="15.75" customHeight="1">
      <c r="A1034" s="34"/>
      <c r="G1034" s="43"/>
    </row>
    <row r="1035" ht="15.75" customHeight="1">
      <c r="A1035" s="34"/>
      <c r="G1035" s="43"/>
    </row>
    <row r="1036" ht="15.75" customHeight="1">
      <c r="A1036" s="34"/>
      <c r="G1036" s="43"/>
    </row>
    <row r="1037" ht="15.75" customHeight="1">
      <c r="A1037" s="34"/>
      <c r="G1037" s="43"/>
    </row>
    <row r="1038" ht="15.75" customHeight="1">
      <c r="A1038" s="34"/>
      <c r="G1038" s="43"/>
    </row>
    <row r="1039" ht="15.75" customHeight="1">
      <c r="A1039" s="34"/>
      <c r="G1039" s="43"/>
    </row>
    <row r="1040" ht="15.75" customHeight="1">
      <c r="A1040" s="34"/>
      <c r="G1040" s="43"/>
    </row>
    <row r="1041" ht="15.75" customHeight="1">
      <c r="A1041" s="34"/>
      <c r="G1041" s="43"/>
    </row>
    <row r="1042" ht="15.75" customHeight="1">
      <c r="A1042" s="34"/>
      <c r="G1042" s="43"/>
    </row>
    <row r="1043" ht="15.75" customHeight="1">
      <c r="A1043" s="34"/>
      <c r="G1043" s="43"/>
    </row>
    <row r="1044" ht="15.75" customHeight="1">
      <c r="A1044" s="34"/>
      <c r="G1044" s="43"/>
    </row>
    <row r="1045" ht="15.75" customHeight="1">
      <c r="A1045" s="34"/>
      <c r="G1045" s="43"/>
    </row>
    <row r="1046" ht="15.75" customHeight="1">
      <c r="A1046" s="34"/>
      <c r="G1046" s="43"/>
    </row>
    <row r="1047" ht="15.75" customHeight="1">
      <c r="A1047" s="34"/>
      <c r="G1047" s="43"/>
    </row>
    <row r="1048" ht="15.75" customHeight="1">
      <c r="A1048" s="34"/>
      <c r="G1048" s="43"/>
    </row>
    <row r="1049" ht="15.75" customHeight="1">
      <c r="A1049" s="34"/>
      <c r="G1049" s="43"/>
    </row>
    <row r="1050" ht="15.75" customHeight="1">
      <c r="A1050" s="34"/>
      <c r="G1050" s="43"/>
    </row>
    <row r="1051" ht="15.75" customHeight="1">
      <c r="A1051" s="34"/>
      <c r="G1051" s="43"/>
    </row>
    <row r="1052" ht="15.75" customHeight="1">
      <c r="A1052" s="34"/>
      <c r="G1052" s="43"/>
    </row>
    <row r="1053" ht="15.75" customHeight="1">
      <c r="A1053" s="34"/>
      <c r="G1053" s="43"/>
    </row>
    <row r="1054" ht="15.75" customHeight="1">
      <c r="A1054" s="34"/>
      <c r="G1054" s="43"/>
    </row>
  </sheetData>
  <hyperlinks>
    <hyperlink r:id="rId1" ref="E276"/>
    <hyperlink r:id="rId2" ref="E278"/>
    <hyperlink r:id="rId3" ref="E279"/>
    <hyperlink r:id="rId4" ref="E280"/>
    <hyperlink r:id="rId5" ref="E281"/>
  </hyperlinks>
  <printOptions/>
  <pageMargins bottom="1.0" footer="0.0" header="0.0" left="0.75" right="0.75" top="1.0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6.0"/>
    <col customWidth="1" min="3" max="3" width="8.0"/>
    <col customWidth="1" min="4" max="4" width="20.0"/>
    <col customWidth="1" min="5" max="5" width="7.0"/>
    <col customWidth="1" min="6" max="6" width="22.0"/>
    <col customWidth="1" min="7" max="7" width="34.0"/>
    <col customWidth="1" min="8" max="8" width="26.0"/>
    <col customWidth="1" min="9" max="9" width="16.0"/>
    <col customWidth="1" min="10" max="10" width="30.0"/>
    <col customWidth="1" min="11" max="11" width="26.0"/>
    <col customWidth="1" min="12" max="12" width="30.0"/>
    <col customWidth="1" min="13" max="13" width="8.0"/>
    <col customWidth="1" min="14" max="14" width="38.0"/>
    <col customWidth="1" min="15" max="15" width="14.0"/>
  </cols>
  <sheetData>
    <row r="1">
      <c r="A1" s="4" t="s">
        <v>3</v>
      </c>
      <c r="B1" s="7" t="s">
        <v>5</v>
      </c>
      <c r="C1" s="7" t="s">
        <v>9</v>
      </c>
      <c r="D1" s="7" t="s">
        <v>12</v>
      </c>
      <c r="E1" s="7" t="s">
        <v>14</v>
      </c>
      <c r="F1" s="7" t="s">
        <v>17</v>
      </c>
      <c r="G1" s="7" t="s">
        <v>20</v>
      </c>
      <c r="H1" s="7" t="s">
        <v>22</v>
      </c>
      <c r="I1" s="7" t="s">
        <v>24</v>
      </c>
      <c r="J1" s="7" t="s">
        <v>26</v>
      </c>
      <c r="K1" s="7" t="s">
        <v>27</v>
      </c>
      <c r="L1" s="7" t="s">
        <v>29</v>
      </c>
      <c r="M1" s="7" t="s">
        <v>31</v>
      </c>
      <c r="N1" s="7" t="s">
        <v>34</v>
      </c>
      <c r="O1" s="7" t="s">
        <v>35</v>
      </c>
    </row>
    <row r="2">
      <c r="A2" s="2" t="s">
        <v>40</v>
      </c>
      <c r="B2" s="6" t="s">
        <v>44</v>
      </c>
      <c r="C2" s="6" t="s">
        <v>46</v>
      </c>
      <c r="D2" s="6" t="s">
        <v>49</v>
      </c>
      <c r="E2" s="6" t="s">
        <v>51</v>
      </c>
      <c r="F2" s="6" t="s">
        <v>7</v>
      </c>
      <c r="G2" s="6" t="s">
        <v>53</v>
      </c>
      <c r="H2" s="6"/>
      <c r="I2" s="6" t="s">
        <v>55</v>
      </c>
      <c r="J2" s="6"/>
      <c r="K2" s="6" t="s">
        <v>58</v>
      </c>
      <c r="L2" s="6" t="s">
        <v>59</v>
      </c>
      <c r="M2" s="6" t="s">
        <v>61</v>
      </c>
      <c r="N2" s="6" t="s">
        <v>62</v>
      </c>
      <c r="O2" s="6" t="s">
        <v>64</v>
      </c>
    </row>
    <row r="3">
      <c r="A3" s="2" t="s">
        <v>71</v>
      </c>
      <c r="B3" s="6" t="s">
        <v>74</v>
      </c>
      <c r="C3" s="6" t="s">
        <v>46</v>
      </c>
      <c r="D3" s="6" t="s">
        <v>78</v>
      </c>
      <c r="E3" s="6" t="s">
        <v>79</v>
      </c>
      <c r="F3" s="6" t="s">
        <v>7</v>
      </c>
      <c r="G3" s="6" t="s">
        <v>81</v>
      </c>
      <c r="H3" s="6"/>
      <c r="I3" s="6" t="s">
        <v>85</v>
      </c>
      <c r="J3" s="6"/>
      <c r="K3" s="6" t="s">
        <v>87</v>
      </c>
      <c r="L3" s="6" t="s">
        <v>88</v>
      </c>
      <c r="M3" s="6" t="s">
        <v>61</v>
      </c>
      <c r="N3" s="6"/>
      <c r="O3" s="6" t="s">
        <v>92</v>
      </c>
    </row>
    <row r="4">
      <c r="A4" s="2" t="s">
        <v>96</v>
      </c>
      <c r="B4" s="6" t="s">
        <v>98</v>
      </c>
      <c r="C4" s="6" t="s">
        <v>46</v>
      </c>
      <c r="D4" s="6" t="s">
        <v>100</v>
      </c>
      <c r="E4" s="6" t="s">
        <v>102</v>
      </c>
      <c r="F4" s="6" t="s">
        <v>7</v>
      </c>
      <c r="G4" s="6" t="s">
        <v>105</v>
      </c>
      <c r="H4" s="6"/>
      <c r="I4" s="6" t="s">
        <v>107</v>
      </c>
      <c r="J4" s="6"/>
      <c r="K4" s="6" t="s">
        <v>108</v>
      </c>
      <c r="L4" s="6" t="s">
        <v>110</v>
      </c>
      <c r="M4" s="6" t="s">
        <v>113</v>
      </c>
      <c r="N4" s="6"/>
      <c r="O4" s="6" t="s">
        <v>64</v>
      </c>
    </row>
    <row r="5">
      <c r="A5" s="2" t="s">
        <v>115</v>
      </c>
      <c r="B5" s="6" t="s">
        <v>44</v>
      </c>
      <c r="C5" s="6" t="s">
        <v>46</v>
      </c>
      <c r="D5" s="6" t="s">
        <v>118</v>
      </c>
      <c r="E5" s="6" t="s">
        <v>119</v>
      </c>
      <c r="F5" s="6" t="s">
        <v>7</v>
      </c>
      <c r="G5" s="6" t="s">
        <v>120</v>
      </c>
      <c r="H5" s="6"/>
      <c r="I5" s="6" t="s">
        <v>122</v>
      </c>
      <c r="J5" s="6"/>
      <c r="K5" s="6" t="s">
        <v>123</v>
      </c>
      <c r="L5" s="6" t="s">
        <v>126</v>
      </c>
      <c r="M5" s="6" t="s">
        <v>113</v>
      </c>
      <c r="N5" s="6" t="s">
        <v>128</v>
      </c>
      <c r="O5" s="6" t="s">
        <v>64</v>
      </c>
    </row>
    <row r="6">
      <c r="A6" s="2" t="s">
        <v>131</v>
      </c>
      <c r="B6" s="6" t="s">
        <v>98</v>
      </c>
      <c r="C6" s="6" t="s">
        <v>46</v>
      </c>
      <c r="D6" s="6" t="s">
        <v>118</v>
      </c>
      <c r="E6" s="6" t="s">
        <v>119</v>
      </c>
      <c r="F6" s="6" t="s">
        <v>7</v>
      </c>
      <c r="G6" s="6" t="s">
        <v>135</v>
      </c>
      <c r="H6" s="6"/>
      <c r="I6" s="6" t="s">
        <v>137</v>
      </c>
      <c r="J6" s="6"/>
      <c r="K6" s="6"/>
      <c r="L6" s="6"/>
      <c r="M6" s="6"/>
      <c r="N6" s="6"/>
      <c r="O6" s="6" t="s">
        <v>64</v>
      </c>
    </row>
    <row r="7">
      <c r="A7" s="2" t="s">
        <v>143</v>
      </c>
      <c r="B7" s="6" t="s">
        <v>44</v>
      </c>
      <c r="C7" s="6" t="s">
        <v>46</v>
      </c>
      <c r="D7" s="6" t="s">
        <v>118</v>
      </c>
      <c r="E7" s="6" t="s">
        <v>119</v>
      </c>
      <c r="F7" s="6" t="s">
        <v>7</v>
      </c>
      <c r="G7" s="6" t="s">
        <v>148</v>
      </c>
      <c r="H7" s="6"/>
      <c r="I7" s="6" t="s">
        <v>151</v>
      </c>
      <c r="J7" s="6"/>
      <c r="K7" s="6" t="s">
        <v>152</v>
      </c>
      <c r="L7" s="6" t="s">
        <v>153</v>
      </c>
      <c r="M7" s="6" t="s">
        <v>155</v>
      </c>
      <c r="N7" s="6" t="s">
        <v>62</v>
      </c>
      <c r="O7" s="6" t="s">
        <v>64</v>
      </c>
    </row>
    <row r="8">
      <c r="A8" s="2" t="s">
        <v>157</v>
      </c>
      <c r="B8" s="6" t="s">
        <v>98</v>
      </c>
      <c r="C8" s="6" t="s">
        <v>46</v>
      </c>
      <c r="D8" s="6" t="s">
        <v>118</v>
      </c>
      <c r="E8" s="6" t="s">
        <v>119</v>
      </c>
      <c r="F8" s="6" t="s">
        <v>7</v>
      </c>
      <c r="G8" s="6" t="s">
        <v>160</v>
      </c>
      <c r="H8" s="6"/>
      <c r="I8" s="6"/>
      <c r="J8" s="6"/>
      <c r="K8" s="6"/>
      <c r="L8" s="6"/>
      <c r="M8" s="6"/>
      <c r="N8" s="6"/>
      <c r="O8" s="6" t="s">
        <v>64</v>
      </c>
    </row>
    <row r="9">
      <c r="A9" s="2" t="s">
        <v>164</v>
      </c>
      <c r="B9" s="6" t="s">
        <v>44</v>
      </c>
      <c r="C9" s="6" t="s">
        <v>46</v>
      </c>
      <c r="D9" s="6" t="s">
        <v>118</v>
      </c>
      <c r="E9" s="6" t="s">
        <v>119</v>
      </c>
      <c r="F9" s="6" t="s">
        <v>7</v>
      </c>
      <c r="G9" s="6" t="s">
        <v>166</v>
      </c>
      <c r="H9" s="6"/>
      <c r="I9" s="6" t="s">
        <v>167</v>
      </c>
      <c r="J9" s="6"/>
      <c r="K9" s="6"/>
      <c r="L9" s="6"/>
      <c r="M9" s="6"/>
      <c r="N9" s="6" t="s">
        <v>62</v>
      </c>
      <c r="O9" s="6" t="s">
        <v>64</v>
      </c>
    </row>
    <row r="10">
      <c r="A10" s="2" t="s">
        <v>169</v>
      </c>
      <c r="B10" s="6" t="s">
        <v>44</v>
      </c>
      <c r="C10" s="6" t="s">
        <v>46</v>
      </c>
      <c r="D10" s="6" t="s">
        <v>170</v>
      </c>
      <c r="E10" s="6" t="s">
        <v>171</v>
      </c>
      <c r="F10" s="6" t="s">
        <v>7</v>
      </c>
      <c r="G10" s="6" t="s">
        <v>172</v>
      </c>
      <c r="H10" s="6"/>
      <c r="I10" s="6" t="s">
        <v>173</v>
      </c>
      <c r="J10" s="6"/>
      <c r="K10" s="6" t="s">
        <v>174</v>
      </c>
      <c r="L10" s="6" t="s">
        <v>175</v>
      </c>
      <c r="M10" s="6" t="s">
        <v>176</v>
      </c>
      <c r="N10" s="6" t="s">
        <v>62</v>
      </c>
      <c r="O10" s="6" t="s">
        <v>64</v>
      </c>
    </row>
    <row r="11">
      <c r="A11" s="2" t="s">
        <v>177</v>
      </c>
      <c r="B11" s="6" t="s">
        <v>44</v>
      </c>
      <c r="C11" s="6" t="s">
        <v>46</v>
      </c>
      <c r="D11" s="6" t="s">
        <v>178</v>
      </c>
      <c r="E11" s="6" t="s">
        <v>179</v>
      </c>
      <c r="F11" s="6" t="s">
        <v>7</v>
      </c>
      <c r="G11" s="6" t="s">
        <v>180</v>
      </c>
      <c r="H11" s="6"/>
      <c r="I11" s="6" t="s">
        <v>181</v>
      </c>
      <c r="J11" s="6"/>
      <c r="K11" s="6" t="s">
        <v>183</v>
      </c>
      <c r="L11" s="6" t="s">
        <v>184</v>
      </c>
      <c r="M11" s="6" t="s">
        <v>61</v>
      </c>
      <c r="N11" s="6" t="s">
        <v>62</v>
      </c>
      <c r="O11" s="6" t="s">
        <v>64</v>
      </c>
    </row>
    <row r="12">
      <c r="A12" s="2" t="s">
        <v>187</v>
      </c>
      <c r="B12" s="6" t="s">
        <v>98</v>
      </c>
      <c r="C12" s="6" t="s">
        <v>46</v>
      </c>
      <c r="D12" s="6" t="s">
        <v>189</v>
      </c>
      <c r="E12" s="6" t="s">
        <v>119</v>
      </c>
      <c r="F12" s="6" t="s">
        <v>7</v>
      </c>
      <c r="G12" s="6" t="s">
        <v>192</v>
      </c>
      <c r="H12" s="6"/>
      <c r="I12" s="6" t="s">
        <v>195</v>
      </c>
      <c r="J12" s="6"/>
      <c r="K12" s="6"/>
      <c r="L12" s="6"/>
      <c r="M12" s="6"/>
      <c r="N12" s="6" t="s">
        <v>198</v>
      </c>
      <c r="O12" s="6" t="s">
        <v>64</v>
      </c>
    </row>
    <row r="13">
      <c r="A13" s="2" t="s">
        <v>200</v>
      </c>
      <c r="B13" s="6" t="s">
        <v>44</v>
      </c>
      <c r="C13" s="6" t="s">
        <v>46</v>
      </c>
      <c r="D13" s="6" t="s">
        <v>189</v>
      </c>
      <c r="E13" s="6" t="s">
        <v>119</v>
      </c>
      <c r="F13" s="6" t="s">
        <v>7</v>
      </c>
      <c r="G13" s="6" t="s">
        <v>204</v>
      </c>
      <c r="H13" s="6"/>
      <c r="I13" s="6" t="s">
        <v>206</v>
      </c>
      <c r="J13" s="6"/>
      <c r="K13" s="6"/>
      <c r="L13" s="6"/>
      <c r="M13" s="6"/>
      <c r="N13" s="6" t="s">
        <v>62</v>
      </c>
      <c r="O13" s="6" t="s">
        <v>64</v>
      </c>
    </row>
    <row r="14">
      <c r="A14" s="2" t="s">
        <v>211</v>
      </c>
      <c r="B14" s="6" t="s">
        <v>98</v>
      </c>
      <c r="C14" s="6" t="s">
        <v>46</v>
      </c>
      <c r="D14" s="6" t="s">
        <v>214</v>
      </c>
      <c r="E14" s="6" t="s">
        <v>216</v>
      </c>
      <c r="F14" s="6" t="s">
        <v>7</v>
      </c>
      <c r="G14" s="6" t="s">
        <v>218</v>
      </c>
      <c r="H14" s="6"/>
      <c r="I14" s="6" t="s">
        <v>220</v>
      </c>
      <c r="J14" s="6"/>
      <c r="K14" s="6" t="s">
        <v>221</v>
      </c>
      <c r="L14" s="6" t="s">
        <v>223</v>
      </c>
      <c r="M14" s="6" t="s">
        <v>225</v>
      </c>
      <c r="N14" s="6"/>
      <c r="O14" s="6" t="s">
        <v>64</v>
      </c>
    </row>
    <row r="15">
      <c r="A15" s="2" t="s">
        <v>226</v>
      </c>
      <c r="B15" s="6" t="s">
        <v>98</v>
      </c>
      <c r="C15" s="6" t="s">
        <v>46</v>
      </c>
      <c r="D15" s="6" t="s">
        <v>214</v>
      </c>
      <c r="E15" s="6" t="s">
        <v>216</v>
      </c>
      <c r="F15" s="6" t="s">
        <v>7</v>
      </c>
      <c r="G15" s="6" t="s">
        <v>230</v>
      </c>
      <c r="H15" s="6"/>
      <c r="I15" s="6" t="s">
        <v>232</v>
      </c>
      <c r="J15" s="6"/>
      <c r="K15" s="6"/>
      <c r="L15" s="6"/>
      <c r="M15" s="6"/>
      <c r="N15" s="6"/>
      <c r="O15" s="6" t="s">
        <v>64</v>
      </c>
    </row>
    <row r="16">
      <c r="A16" s="2" t="s">
        <v>236</v>
      </c>
      <c r="B16" s="6" t="s">
        <v>98</v>
      </c>
      <c r="C16" s="6" t="s">
        <v>46</v>
      </c>
      <c r="D16" s="6" t="s">
        <v>237</v>
      </c>
      <c r="E16" s="6" t="s">
        <v>238</v>
      </c>
      <c r="F16" s="6" t="s">
        <v>7</v>
      </c>
      <c r="G16" s="6" t="s">
        <v>239</v>
      </c>
      <c r="H16" s="6"/>
      <c r="I16" s="6" t="s">
        <v>241</v>
      </c>
      <c r="J16" s="6"/>
      <c r="K16" s="6"/>
      <c r="L16" s="6" t="s">
        <v>242</v>
      </c>
      <c r="M16" s="6" t="s">
        <v>243</v>
      </c>
      <c r="N16" s="6"/>
      <c r="O16" s="6" t="s">
        <v>64</v>
      </c>
    </row>
    <row r="17">
      <c r="A17" s="2" t="s">
        <v>244</v>
      </c>
      <c r="B17" s="6" t="s">
        <v>44</v>
      </c>
      <c r="C17" s="6" t="s">
        <v>46</v>
      </c>
      <c r="D17" s="6" t="s">
        <v>245</v>
      </c>
      <c r="E17" s="6" t="s">
        <v>246</v>
      </c>
      <c r="F17" s="6" t="s">
        <v>7</v>
      </c>
      <c r="G17" s="6" t="s">
        <v>247</v>
      </c>
      <c r="H17" s="6"/>
      <c r="I17" s="6"/>
      <c r="J17" s="6"/>
      <c r="K17" s="6"/>
      <c r="L17" s="6"/>
      <c r="M17" s="6"/>
      <c r="N17" s="6" t="s">
        <v>62</v>
      </c>
      <c r="O17" s="6" t="s">
        <v>64</v>
      </c>
    </row>
    <row r="18">
      <c r="A18" s="2" t="s">
        <v>250</v>
      </c>
      <c r="B18" s="6" t="s">
        <v>98</v>
      </c>
      <c r="C18" s="6" t="s">
        <v>46</v>
      </c>
      <c r="D18" s="6" t="s">
        <v>251</v>
      </c>
      <c r="E18" s="6" t="s">
        <v>252</v>
      </c>
      <c r="F18" s="6" t="s">
        <v>7</v>
      </c>
      <c r="G18" s="6" t="s">
        <v>254</v>
      </c>
      <c r="H18" s="6"/>
      <c r="I18" s="6" t="s">
        <v>255</v>
      </c>
      <c r="J18" s="6"/>
      <c r="K18" s="6" t="s">
        <v>258</v>
      </c>
      <c r="L18" s="6" t="s">
        <v>259</v>
      </c>
      <c r="M18" s="6" t="s">
        <v>61</v>
      </c>
      <c r="N18" s="6"/>
      <c r="O18" s="6" t="s">
        <v>64</v>
      </c>
    </row>
    <row r="19">
      <c r="A19" s="2" t="s">
        <v>264</v>
      </c>
      <c r="B19" s="6" t="s">
        <v>98</v>
      </c>
      <c r="C19" s="6" t="s">
        <v>46</v>
      </c>
      <c r="D19" s="6" t="s">
        <v>266</v>
      </c>
      <c r="E19" s="6" t="s">
        <v>267</v>
      </c>
      <c r="F19" s="6" t="s">
        <v>7</v>
      </c>
      <c r="G19" s="6" t="s">
        <v>271</v>
      </c>
      <c r="H19" s="6"/>
      <c r="I19" s="6" t="s">
        <v>272</v>
      </c>
      <c r="J19" s="6"/>
      <c r="K19" s="6" t="s">
        <v>274</v>
      </c>
      <c r="L19" s="6" t="s">
        <v>276</v>
      </c>
      <c r="M19" s="6" t="s">
        <v>278</v>
      </c>
      <c r="N19" s="6"/>
      <c r="O19" s="6" t="s">
        <v>64</v>
      </c>
    </row>
    <row r="20">
      <c r="A20" s="2" t="s">
        <v>281</v>
      </c>
      <c r="B20" s="6" t="s">
        <v>98</v>
      </c>
      <c r="C20" s="6" t="s">
        <v>46</v>
      </c>
      <c r="D20" s="6" t="s">
        <v>285</v>
      </c>
      <c r="E20" s="6" t="s">
        <v>286</v>
      </c>
      <c r="F20" s="6" t="s">
        <v>7</v>
      </c>
      <c r="G20" s="6" t="s">
        <v>289</v>
      </c>
      <c r="H20" s="6"/>
      <c r="I20" s="6" t="s">
        <v>290</v>
      </c>
      <c r="J20" s="6" t="s">
        <v>292</v>
      </c>
      <c r="K20" s="6"/>
      <c r="L20" s="6"/>
      <c r="M20" s="6"/>
      <c r="N20" s="6" t="s">
        <v>295</v>
      </c>
      <c r="O20" s="6" t="s">
        <v>296</v>
      </c>
    </row>
    <row r="21" ht="15.75" customHeight="1">
      <c r="A21" s="2" t="s">
        <v>298</v>
      </c>
      <c r="B21" s="6" t="s">
        <v>98</v>
      </c>
      <c r="C21" s="6" t="s">
        <v>46</v>
      </c>
      <c r="D21" s="6" t="s">
        <v>299</v>
      </c>
      <c r="E21" s="6" t="s">
        <v>301</v>
      </c>
      <c r="F21" s="6" t="s">
        <v>7</v>
      </c>
      <c r="G21" s="6" t="s">
        <v>302</v>
      </c>
      <c r="H21" s="6"/>
      <c r="I21" s="6" t="s">
        <v>304</v>
      </c>
      <c r="J21" s="6"/>
      <c r="K21" s="6"/>
      <c r="L21" s="6"/>
      <c r="M21" s="6"/>
      <c r="N21" s="6"/>
      <c r="O21" s="6" t="s">
        <v>64</v>
      </c>
    </row>
    <row r="22" ht="15.75" customHeight="1">
      <c r="A22" s="2" t="s">
        <v>311</v>
      </c>
      <c r="B22" s="6" t="s">
        <v>98</v>
      </c>
      <c r="C22" s="6" t="s">
        <v>46</v>
      </c>
      <c r="D22" s="6" t="s">
        <v>313</v>
      </c>
      <c r="E22" s="6" t="s">
        <v>315</v>
      </c>
      <c r="F22" s="6" t="s">
        <v>7</v>
      </c>
      <c r="G22" s="6" t="s">
        <v>316</v>
      </c>
      <c r="H22" s="6"/>
      <c r="I22" s="6" t="s">
        <v>319</v>
      </c>
      <c r="J22" s="6"/>
      <c r="K22" s="6" t="s">
        <v>322</v>
      </c>
      <c r="L22" s="6" t="s">
        <v>323</v>
      </c>
      <c r="M22" s="6" t="s">
        <v>325</v>
      </c>
      <c r="N22" s="6" t="s">
        <v>326</v>
      </c>
      <c r="O22" s="6" t="s">
        <v>64</v>
      </c>
    </row>
    <row r="23" ht="15.75" customHeight="1">
      <c r="A23" s="2" t="s">
        <v>328</v>
      </c>
      <c r="B23" s="6" t="s">
        <v>44</v>
      </c>
      <c r="C23" s="6" t="s">
        <v>46</v>
      </c>
      <c r="D23" s="6" t="s">
        <v>313</v>
      </c>
      <c r="E23" s="6" t="s">
        <v>330</v>
      </c>
      <c r="F23" s="6" t="s">
        <v>7</v>
      </c>
      <c r="G23" s="6" t="s">
        <v>332</v>
      </c>
      <c r="H23" s="6"/>
      <c r="I23" s="6"/>
      <c r="J23" s="6"/>
      <c r="K23" s="6" t="s">
        <v>335</v>
      </c>
      <c r="L23" s="6" t="s">
        <v>336</v>
      </c>
      <c r="M23" s="6" t="s">
        <v>337</v>
      </c>
      <c r="N23" s="6" t="s">
        <v>338</v>
      </c>
      <c r="O23" s="6" t="s">
        <v>64</v>
      </c>
    </row>
    <row r="24" ht="15.75" customHeight="1">
      <c r="A24" s="2" t="s">
        <v>340</v>
      </c>
      <c r="B24" s="6" t="s">
        <v>44</v>
      </c>
      <c r="C24" s="6" t="s">
        <v>46</v>
      </c>
      <c r="D24" s="6" t="s">
        <v>341</v>
      </c>
      <c r="E24" s="6" t="s">
        <v>342</v>
      </c>
      <c r="F24" s="6" t="s">
        <v>7</v>
      </c>
      <c r="G24" s="6" t="s">
        <v>343</v>
      </c>
      <c r="H24" s="6"/>
      <c r="I24" s="6" t="s">
        <v>344</v>
      </c>
      <c r="J24" s="6"/>
      <c r="K24" s="6"/>
      <c r="L24" s="6" t="s">
        <v>345</v>
      </c>
      <c r="M24" s="6" t="s">
        <v>346</v>
      </c>
      <c r="N24" s="6" t="s">
        <v>128</v>
      </c>
      <c r="O24" s="6" t="s">
        <v>64</v>
      </c>
    </row>
    <row r="25" ht="15.75" customHeight="1">
      <c r="A25" s="2" t="s">
        <v>348</v>
      </c>
      <c r="B25" s="6" t="s">
        <v>44</v>
      </c>
      <c r="C25" s="6" t="s">
        <v>46</v>
      </c>
      <c r="D25" s="6" t="s">
        <v>351</v>
      </c>
      <c r="E25" s="6" t="s">
        <v>352</v>
      </c>
      <c r="F25" s="6" t="s">
        <v>7</v>
      </c>
      <c r="G25" s="6" t="s">
        <v>353</v>
      </c>
      <c r="H25" s="6"/>
      <c r="I25" s="6" t="s">
        <v>355</v>
      </c>
      <c r="J25" s="6"/>
      <c r="K25" s="6" t="s">
        <v>357</v>
      </c>
      <c r="L25" s="6" t="s">
        <v>360</v>
      </c>
      <c r="M25" s="6" t="s">
        <v>361</v>
      </c>
      <c r="N25" s="6" t="s">
        <v>362</v>
      </c>
      <c r="O25" s="6" t="s">
        <v>64</v>
      </c>
    </row>
    <row r="26" ht="15.75" customHeight="1">
      <c r="A26" s="2" t="s">
        <v>366</v>
      </c>
      <c r="B26" s="6" t="s">
        <v>44</v>
      </c>
      <c r="C26" s="6" t="s">
        <v>46</v>
      </c>
      <c r="D26" s="6" t="s">
        <v>369</v>
      </c>
      <c r="E26" s="6" t="s">
        <v>370</v>
      </c>
      <c r="F26" s="6" t="s">
        <v>7</v>
      </c>
      <c r="G26" s="6" t="s">
        <v>372</v>
      </c>
      <c r="H26" s="6"/>
      <c r="I26" s="6" t="s">
        <v>374</v>
      </c>
      <c r="J26" s="6"/>
      <c r="K26" s="6" t="s">
        <v>376</v>
      </c>
      <c r="L26" s="6" t="s">
        <v>378</v>
      </c>
      <c r="M26" s="6" t="s">
        <v>379</v>
      </c>
      <c r="N26" s="6" t="s">
        <v>62</v>
      </c>
      <c r="O26" s="6" t="s">
        <v>64</v>
      </c>
    </row>
    <row r="27" ht="15.75" customHeight="1">
      <c r="A27" s="2" t="s">
        <v>384</v>
      </c>
      <c r="B27" s="6" t="s">
        <v>98</v>
      </c>
      <c r="C27" s="6" t="s">
        <v>46</v>
      </c>
      <c r="D27" s="6" t="s">
        <v>387</v>
      </c>
      <c r="E27" s="6" t="s">
        <v>390</v>
      </c>
      <c r="F27" s="6" t="s">
        <v>7</v>
      </c>
      <c r="G27" s="6" t="s">
        <v>392</v>
      </c>
      <c r="H27" s="6"/>
      <c r="I27" s="6" t="s">
        <v>394</v>
      </c>
      <c r="J27" s="6"/>
      <c r="K27" s="6"/>
      <c r="L27" s="6"/>
      <c r="M27" s="6"/>
      <c r="N27" s="6"/>
      <c r="O27" s="6" t="s">
        <v>64</v>
      </c>
    </row>
    <row r="28" ht="15.75" customHeight="1">
      <c r="A28" s="2" t="s">
        <v>398</v>
      </c>
      <c r="B28" s="6" t="s">
        <v>98</v>
      </c>
      <c r="C28" s="6" t="s">
        <v>46</v>
      </c>
      <c r="D28" s="6" t="s">
        <v>387</v>
      </c>
      <c r="E28" s="6" t="s">
        <v>390</v>
      </c>
      <c r="F28" s="6" t="s">
        <v>7</v>
      </c>
      <c r="G28" s="6" t="s">
        <v>403</v>
      </c>
      <c r="H28" s="6"/>
      <c r="I28" s="6" t="s">
        <v>405</v>
      </c>
      <c r="J28" s="6"/>
      <c r="K28" s="6"/>
      <c r="L28" s="6"/>
      <c r="M28" s="6"/>
      <c r="N28" s="6" t="s">
        <v>408</v>
      </c>
      <c r="O28" s="6" t="s">
        <v>64</v>
      </c>
    </row>
    <row r="29" ht="15.75" customHeight="1">
      <c r="A29" s="2" t="s">
        <v>410</v>
      </c>
      <c r="B29" s="6" t="s">
        <v>98</v>
      </c>
      <c r="C29" s="6" t="s">
        <v>46</v>
      </c>
      <c r="D29" s="6" t="s">
        <v>413</v>
      </c>
      <c r="E29" s="6" t="s">
        <v>415</v>
      </c>
      <c r="F29" s="6" t="s">
        <v>7</v>
      </c>
      <c r="G29" s="6" t="s">
        <v>418</v>
      </c>
      <c r="H29" s="6"/>
      <c r="I29" s="6" t="s">
        <v>421</v>
      </c>
      <c r="J29" s="6"/>
      <c r="K29" s="6"/>
      <c r="L29" s="6"/>
      <c r="M29" s="6"/>
      <c r="N29" s="6" t="s">
        <v>128</v>
      </c>
      <c r="O29" s="6" t="s">
        <v>64</v>
      </c>
    </row>
    <row r="30" ht="15.75" customHeight="1">
      <c r="A30" s="2" t="s">
        <v>426</v>
      </c>
      <c r="B30" s="6" t="s">
        <v>44</v>
      </c>
      <c r="C30" s="6" t="s">
        <v>46</v>
      </c>
      <c r="D30" s="6" t="s">
        <v>430</v>
      </c>
      <c r="E30" s="6" t="s">
        <v>432</v>
      </c>
      <c r="F30" s="6" t="s">
        <v>7</v>
      </c>
      <c r="G30" s="6" t="s">
        <v>434</v>
      </c>
      <c r="H30" s="6"/>
      <c r="I30" s="6" t="s">
        <v>436</v>
      </c>
      <c r="J30" s="6"/>
      <c r="K30" s="6" t="s">
        <v>438</v>
      </c>
      <c r="L30" s="6" t="s">
        <v>440</v>
      </c>
      <c r="M30" s="6" t="s">
        <v>278</v>
      </c>
      <c r="N30" s="6" t="s">
        <v>62</v>
      </c>
      <c r="O30" s="6" t="s">
        <v>64</v>
      </c>
    </row>
    <row r="31" ht="15.75" customHeight="1">
      <c r="A31" s="2" t="s">
        <v>444</v>
      </c>
      <c r="B31" s="6" t="s">
        <v>44</v>
      </c>
      <c r="C31" s="6" t="s">
        <v>46</v>
      </c>
      <c r="D31" s="6" t="s">
        <v>430</v>
      </c>
      <c r="E31" s="6" t="s">
        <v>432</v>
      </c>
      <c r="F31" s="6" t="s">
        <v>7</v>
      </c>
      <c r="G31" s="6" t="s">
        <v>447</v>
      </c>
      <c r="H31" s="6"/>
      <c r="I31" s="6" t="s">
        <v>448</v>
      </c>
      <c r="J31" s="6"/>
      <c r="K31" s="6" t="s">
        <v>450</v>
      </c>
      <c r="L31" s="6" t="s">
        <v>452</v>
      </c>
      <c r="M31" s="6" t="s">
        <v>337</v>
      </c>
      <c r="N31" s="6" t="s">
        <v>62</v>
      </c>
      <c r="O31" s="6" t="s">
        <v>64</v>
      </c>
    </row>
    <row r="32" ht="15.75" customHeight="1">
      <c r="A32" s="2" t="s">
        <v>453</v>
      </c>
      <c r="B32" s="6" t="s">
        <v>44</v>
      </c>
      <c r="C32" s="6" t="s">
        <v>46</v>
      </c>
      <c r="D32" s="6" t="s">
        <v>456</v>
      </c>
      <c r="E32" s="6" t="s">
        <v>171</v>
      </c>
      <c r="F32" s="6" t="s">
        <v>7</v>
      </c>
      <c r="G32" s="6" t="s">
        <v>458</v>
      </c>
      <c r="H32" s="6"/>
      <c r="I32" s="6" t="s">
        <v>460</v>
      </c>
      <c r="J32" s="6"/>
      <c r="K32" s="6" t="s">
        <v>463</v>
      </c>
      <c r="L32" s="6" t="s">
        <v>464</v>
      </c>
      <c r="M32" s="6" t="s">
        <v>465</v>
      </c>
      <c r="N32" s="6" t="s">
        <v>62</v>
      </c>
      <c r="O32" s="6" t="s">
        <v>64</v>
      </c>
    </row>
    <row r="33" ht="15.75" customHeight="1">
      <c r="A33" s="2" t="s">
        <v>467</v>
      </c>
      <c r="B33" s="6" t="s">
        <v>98</v>
      </c>
      <c r="C33" s="6" t="s">
        <v>46</v>
      </c>
      <c r="D33" s="6" t="s">
        <v>456</v>
      </c>
      <c r="E33" s="6" t="s">
        <v>171</v>
      </c>
      <c r="F33" s="6" t="s">
        <v>7</v>
      </c>
      <c r="G33" s="6" t="s">
        <v>469</v>
      </c>
      <c r="H33" s="6"/>
      <c r="I33" s="6" t="s">
        <v>472</v>
      </c>
      <c r="J33" s="6"/>
      <c r="K33" s="6"/>
      <c r="L33" s="6"/>
      <c r="M33" s="6"/>
      <c r="N33" s="6"/>
      <c r="O33" s="6" t="s">
        <v>64</v>
      </c>
      <c r="P33" s="9" t="s">
        <v>473</v>
      </c>
    </row>
    <row r="34" ht="15.75" customHeight="1">
      <c r="A34" s="2" t="s">
        <v>474</v>
      </c>
      <c r="B34" s="6" t="s">
        <v>98</v>
      </c>
      <c r="C34" s="6" t="s">
        <v>46</v>
      </c>
      <c r="D34" s="6" t="s">
        <v>475</v>
      </c>
      <c r="E34" s="6" t="s">
        <v>179</v>
      </c>
      <c r="F34" s="6" t="s">
        <v>7</v>
      </c>
      <c r="G34" s="6" t="s">
        <v>477</v>
      </c>
      <c r="H34" s="6"/>
      <c r="I34" s="6" t="s">
        <v>478</v>
      </c>
      <c r="J34" s="6"/>
      <c r="K34" s="6"/>
      <c r="L34" s="6"/>
      <c r="M34" s="6"/>
      <c r="N34" s="6" t="s">
        <v>479</v>
      </c>
      <c r="O34" s="6" t="s">
        <v>64</v>
      </c>
    </row>
    <row r="35" ht="15.75" customHeight="1">
      <c r="A35" s="2" t="s">
        <v>482</v>
      </c>
      <c r="B35" s="6" t="s">
        <v>44</v>
      </c>
      <c r="C35" s="6" t="s">
        <v>46</v>
      </c>
      <c r="D35" s="6" t="s">
        <v>193</v>
      </c>
      <c r="E35" s="6" t="s">
        <v>486</v>
      </c>
      <c r="F35" s="6" t="s">
        <v>7</v>
      </c>
      <c r="G35" s="6" t="s">
        <v>487</v>
      </c>
      <c r="H35" s="6"/>
      <c r="I35" s="6" t="s">
        <v>489</v>
      </c>
      <c r="J35" s="6"/>
      <c r="K35" s="6" t="s">
        <v>491</v>
      </c>
      <c r="L35" s="6" t="s">
        <v>492</v>
      </c>
      <c r="M35" s="6" t="s">
        <v>493</v>
      </c>
      <c r="N35" s="6" t="s">
        <v>62</v>
      </c>
      <c r="O35" s="6" t="s">
        <v>64</v>
      </c>
    </row>
    <row r="36" ht="15.75" customHeight="1">
      <c r="A36" s="2" t="s">
        <v>495</v>
      </c>
      <c r="B36" s="6" t="s">
        <v>44</v>
      </c>
      <c r="C36" s="6" t="s">
        <v>46</v>
      </c>
      <c r="D36" s="6" t="s">
        <v>193</v>
      </c>
      <c r="E36" s="6" t="s">
        <v>486</v>
      </c>
      <c r="F36" s="6" t="s">
        <v>7</v>
      </c>
      <c r="G36" s="6" t="s">
        <v>499</v>
      </c>
      <c r="H36" s="6"/>
      <c r="I36" s="6"/>
      <c r="J36" s="6"/>
      <c r="K36" s="6" t="s">
        <v>501</v>
      </c>
      <c r="L36" s="6" t="s">
        <v>502</v>
      </c>
      <c r="M36" s="6" t="s">
        <v>504</v>
      </c>
      <c r="N36" s="6" t="s">
        <v>62</v>
      </c>
      <c r="O36" s="6" t="s">
        <v>64</v>
      </c>
    </row>
    <row r="37" ht="15.75" customHeight="1">
      <c r="A37" s="2" t="s">
        <v>507</v>
      </c>
      <c r="B37" s="6" t="s">
        <v>44</v>
      </c>
      <c r="C37" s="6" t="s">
        <v>46</v>
      </c>
      <c r="D37" s="6" t="s">
        <v>193</v>
      </c>
      <c r="E37" s="6" t="s">
        <v>486</v>
      </c>
      <c r="F37" s="6" t="s">
        <v>7</v>
      </c>
      <c r="G37" s="6" t="s">
        <v>509</v>
      </c>
      <c r="H37" s="6"/>
      <c r="I37" s="6" t="s">
        <v>511</v>
      </c>
      <c r="J37" s="6"/>
      <c r="K37" s="6" t="s">
        <v>513</v>
      </c>
      <c r="L37" s="6" t="s">
        <v>507</v>
      </c>
      <c r="M37" s="6" t="s">
        <v>337</v>
      </c>
      <c r="N37" s="6" t="s">
        <v>62</v>
      </c>
      <c r="O37" s="6" t="s">
        <v>64</v>
      </c>
    </row>
    <row r="38" ht="15.75" customHeight="1">
      <c r="A38" s="2" t="s">
        <v>516</v>
      </c>
      <c r="B38" s="6" t="s">
        <v>44</v>
      </c>
      <c r="C38" s="6" t="s">
        <v>46</v>
      </c>
      <c r="D38" s="6" t="s">
        <v>193</v>
      </c>
      <c r="E38" s="6" t="s">
        <v>486</v>
      </c>
      <c r="F38" s="6" t="s">
        <v>7</v>
      </c>
      <c r="G38" s="6" t="s">
        <v>518</v>
      </c>
      <c r="H38" s="6"/>
      <c r="I38" s="6" t="s">
        <v>520</v>
      </c>
      <c r="J38" s="6"/>
      <c r="K38" s="6" t="s">
        <v>521</v>
      </c>
      <c r="L38" s="6" t="s">
        <v>522</v>
      </c>
      <c r="M38" s="6" t="s">
        <v>523</v>
      </c>
      <c r="N38" s="6" t="s">
        <v>62</v>
      </c>
      <c r="O38" s="6" t="s">
        <v>64</v>
      </c>
    </row>
    <row r="39" ht="15.75" customHeight="1">
      <c r="A39" s="2" t="s">
        <v>526</v>
      </c>
      <c r="B39" s="6" t="s">
        <v>44</v>
      </c>
      <c r="C39" s="6" t="s">
        <v>46</v>
      </c>
      <c r="D39" s="6" t="s">
        <v>193</v>
      </c>
      <c r="E39" s="6" t="s">
        <v>486</v>
      </c>
      <c r="F39" s="6" t="s">
        <v>7</v>
      </c>
      <c r="G39" s="6" t="s">
        <v>533</v>
      </c>
      <c r="H39" s="6"/>
      <c r="I39" s="6"/>
      <c r="J39" s="6"/>
      <c r="K39" s="6" t="s">
        <v>535</v>
      </c>
      <c r="L39" s="6" t="s">
        <v>526</v>
      </c>
      <c r="M39" s="6" t="s">
        <v>537</v>
      </c>
      <c r="N39" s="6" t="s">
        <v>62</v>
      </c>
      <c r="O39" s="6" t="s">
        <v>64</v>
      </c>
    </row>
    <row r="40" ht="15.75" customHeight="1">
      <c r="A40" s="2" t="s">
        <v>538</v>
      </c>
      <c r="B40" s="6" t="s">
        <v>44</v>
      </c>
      <c r="C40" s="6" t="s">
        <v>46</v>
      </c>
      <c r="D40" s="6" t="s">
        <v>539</v>
      </c>
      <c r="E40" s="6" t="s">
        <v>541</v>
      </c>
      <c r="F40" s="6" t="s">
        <v>7</v>
      </c>
      <c r="G40" s="6" t="s">
        <v>542</v>
      </c>
      <c r="H40" s="6"/>
      <c r="I40" s="6" t="s">
        <v>544</v>
      </c>
      <c r="J40" s="6"/>
      <c r="K40" s="6" t="s">
        <v>547</v>
      </c>
      <c r="L40" s="6" t="s">
        <v>549</v>
      </c>
      <c r="M40" s="6" t="s">
        <v>550</v>
      </c>
      <c r="N40" s="6" t="s">
        <v>62</v>
      </c>
      <c r="O40" s="6" t="s">
        <v>64</v>
      </c>
    </row>
    <row r="41" ht="15.75" customHeight="1">
      <c r="A41" s="2" t="s">
        <v>552</v>
      </c>
      <c r="B41" s="6" t="s">
        <v>44</v>
      </c>
      <c r="C41" s="6" t="s">
        <v>46</v>
      </c>
      <c r="D41" s="6" t="s">
        <v>539</v>
      </c>
      <c r="E41" s="6" t="s">
        <v>541</v>
      </c>
      <c r="F41" s="6" t="s">
        <v>7</v>
      </c>
      <c r="G41" s="6" t="s">
        <v>555</v>
      </c>
      <c r="H41" s="6"/>
      <c r="I41" s="6" t="s">
        <v>557</v>
      </c>
      <c r="J41" s="6"/>
      <c r="K41" s="6" t="s">
        <v>559</v>
      </c>
      <c r="L41" s="6" t="s">
        <v>560</v>
      </c>
      <c r="M41" s="6" t="s">
        <v>113</v>
      </c>
      <c r="N41" s="6" t="s">
        <v>62</v>
      </c>
      <c r="O41" s="6" t="s">
        <v>64</v>
      </c>
    </row>
    <row r="42" ht="15.75" customHeight="1">
      <c r="A42" s="2" t="s">
        <v>563</v>
      </c>
      <c r="B42" s="6" t="s">
        <v>44</v>
      </c>
      <c r="C42" s="6" t="s">
        <v>46</v>
      </c>
      <c r="D42" s="6" t="s">
        <v>566</v>
      </c>
      <c r="E42" s="6" t="s">
        <v>425</v>
      </c>
      <c r="F42" s="6" t="s">
        <v>7</v>
      </c>
      <c r="G42" s="6" t="s">
        <v>568</v>
      </c>
      <c r="H42" s="6"/>
      <c r="I42" s="6" t="s">
        <v>569</v>
      </c>
      <c r="J42" s="6"/>
      <c r="K42" s="6" t="s">
        <v>571</v>
      </c>
      <c r="L42" s="6" t="s">
        <v>572</v>
      </c>
      <c r="M42" s="6" t="s">
        <v>504</v>
      </c>
      <c r="N42" s="6" t="s">
        <v>62</v>
      </c>
      <c r="O42" s="6" t="s">
        <v>64</v>
      </c>
    </row>
    <row r="43" ht="15.75" customHeight="1">
      <c r="A43" s="2" t="s">
        <v>576</v>
      </c>
      <c r="B43" s="6" t="s">
        <v>44</v>
      </c>
      <c r="C43" s="6" t="s">
        <v>46</v>
      </c>
      <c r="D43" s="6" t="s">
        <v>566</v>
      </c>
      <c r="E43" s="6" t="s">
        <v>425</v>
      </c>
      <c r="F43" s="6" t="s">
        <v>7</v>
      </c>
      <c r="G43" s="6" t="s">
        <v>578</v>
      </c>
      <c r="H43" s="6"/>
      <c r="I43" s="6" t="s">
        <v>580</v>
      </c>
      <c r="J43" s="6"/>
      <c r="K43" s="6" t="s">
        <v>582</v>
      </c>
      <c r="L43" s="6" t="s">
        <v>584</v>
      </c>
      <c r="M43" s="6" t="s">
        <v>585</v>
      </c>
      <c r="N43" s="6" t="s">
        <v>62</v>
      </c>
      <c r="O43" s="6" t="s">
        <v>64</v>
      </c>
    </row>
    <row r="44" ht="15.75" customHeight="1">
      <c r="A44" s="2" t="s">
        <v>588</v>
      </c>
      <c r="B44" s="6" t="s">
        <v>98</v>
      </c>
      <c r="C44" s="6" t="s">
        <v>46</v>
      </c>
      <c r="D44" s="6" t="s">
        <v>590</v>
      </c>
      <c r="E44" s="6" t="s">
        <v>593</v>
      </c>
      <c r="F44" s="6" t="s">
        <v>7</v>
      </c>
      <c r="G44" s="6" t="s">
        <v>595</v>
      </c>
      <c r="H44" s="6"/>
      <c r="I44" s="6" t="s">
        <v>598</v>
      </c>
      <c r="J44" s="6"/>
      <c r="K44" s="6"/>
      <c r="L44" s="6"/>
      <c r="M44" s="6"/>
      <c r="N44" s="6" t="s">
        <v>338</v>
      </c>
      <c r="O44" s="6" t="s">
        <v>64</v>
      </c>
    </row>
    <row r="45" ht="15.75" customHeight="1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ht="15.75" customHeight="1">
      <c r="A46" s="2" t="s">
        <v>614</v>
      </c>
      <c r="B46" s="6" t="s">
        <v>98</v>
      </c>
      <c r="C46" s="6" t="s">
        <v>46</v>
      </c>
      <c r="D46" s="6" t="s">
        <v>616</v>
      </c>
      <c r="E46" s="6" t="s">
        <v>617</v>
      </c>
      <c r="F46" s="6" t="s">
        <v>33</v>
      </c>
      <c r="G46" s="6" t="s">
        <v>618</v>
      </c>
      <c r="H46" s="6"/>
      <c r="I46" s="6" t="s">
        <v>620</v>
      </c>
      <c r="J46" s="6" t="s">
        <v>621</v>
      </c>
      <c r="K46" s="6" t="s">
        <v>622</v>
      </c>
      <c r="L46" s="6" t="s">
        <v>623</v>
      </c>
      <c r="M46" s="6" t="s">
        <v>493</v>
      </c>
      <c r="N46" s="6" t="s">
        <v>624</v>
      </c>
      <c r="O46" s="6" t="s">
        <v>296</v>
      </c>
    </row>
    <row r="47" ht="15.75" customHeight="1">
      <c r="A47" s="2" t="s">
        <v>625</v>
      </c>
      <c r="B47" s="6" t="s">
        <v>44</v>
      </c>
      <c r="C47" s="6" t="s">
        <v>46</v>
      </c>
      <c r="D47" s="6" t="s">
        <v>616</v>
      </c>
      <c r="E47" s="6" t="s">
        <v>617</v>
      </c>
      <c r="F47" s="6" t="s">
        <v>33</v>
      </c>
      <c r="G47" s="6" t="s">
        <v>628</v>
      </c>
      <c r="H47" s="6"/>
      <c r="I47" s="6" t="s">
        <v>631</v>
      </c>
      <c r="J47" s="6" t="s">
        <v>632</v>
      </c>
      <c r="K47" s="6" t="s">
        <v>633</v>
      </c>
      <c r="L47" s="6" t="s">
        <v>636</v>
      </c>
      <c r="M47" s="6" t="s">
        <v>504</v>
      </c>
      <c r="N47" s="6" t="s">
        <v>62</v>
      </c>
      <c r="O47" s="6" t="s">
        <v>296</v>
      </c>
    </row>
    <row r="48" ht="15.75" customHeight="1">
      <c r="A48" s="2" t="s">
        <v>641</v>
      </c>
      <c r="B48" s="6" t="s">
        <v>44</v>
      </c>
      <c r="C48" s="6" t="s">
        <v>46</v>
      </c>
      <c r="D48" s="6" t="s">
        <v>616</v>
      </c>
      <c r="E48" s="6" t="s">
        <v>617</v>
      </c>
      <c r="F48" s="6" t="s">
        <v>33</v>
      </c>
      <c r="G48" s="6" t="s">
        <v>646</v>
      </c>
      <c r="H48" s="6"/>
      <c r="I48" s="6" t="s">
        <v>649</v>
      </c>
      <c r="J48" s="6" t="s">
        <v>650</v>
      </c>
      <c r="K48" s="6" t="s">
        <v>653</v>
      </c>
      <c r="L48" s="6" t="s">
        <v>655</v>
      </c>
      <c r="M48" s="6" t="s">
        <v>61</v>
      </c>
      <c r="N48" s="6" t="s">
        <v>656</v>
      </c>
      <c r="O48" s="6" t="s">
        <v>296</v>
      </c>
    </row>
    <row r="49" ht="15.75" customHeight="1">
      <c r="A49" s="2" t="s">
        <v>660</v>
      </c>
      <c r="B49" s="6" t="s">
        <v>44</v>
      </c>
      <c r="C49" s="6" t="s">
        <v>46</v>
      </c>
      <c r="D49" s="6" t="s">
        <v>616</v>
      </c>
      <c r="E49" s="6" t="s">
        <v>617</v>
      </c>
      <c r="F49" s="6" t="s">
        <v>33</v>
      </c>
      <c r="G49" s="6" t="s">
        <v>666</v>
      </c>
      <c r="H49" s="6"/>
      <c r="I49" s="6" t="s">
        <v>667</v>
      </c>
      <c r="J49" s="6"/>
      <c r="K49" s="6"/>
      <c r="L49" s="6" t="s">
        <v>670</v>
      </c>
      <c r="M49" s="6" t="s">
        <v>672</v>
      </c>
      <c r="N49" s="6" t="s">
        <v>62</v>
      </c>
      <c r="O49" s="6" t="s">
        <v>64</v>
      </c>
    </row>
    <row r="50" ht="15.75" customHeight="1">
      <c r="A50" s="2" t="s">
        <v>674</v>
      </c>
      <c r="B50" s="6" t="s">
        <v>44</v>
      </c>
      <c r="C50" s="6" t="s">
        <v>46</v>
      </c>
      <c r="D50" s="6" t="s">
        <v>616</v>
      </c>
      <c r="E50" s="6" t="s">
        <v>617</v>
      </c>
      <c r="F50" s="6" t="s">
        <v>33</v>
      </c>
      <c r="G50" s="6" t="s">
        <v>678</v>
      </c>
      <c r="H50" s="6"/>
      <c r="I50" s="6" t="s">
        <v>680</v>
      </c>
      <c r="J50" s="6"/>
      <c r="K50" s="6"/>
      <c r="L50" s="6"/>
      <c r="M50" s="6"/>
      <c r="N50" s="6" t="s">
        <v>62</v>
      </c>
      <c r="O50" s="6" t="s">
        <v>64</v>
      </c>
    </row>
    <row r="51" ht="15.75" customHeight="1">
      <c r="A51" s="2" t="s">
        <v>683</v>
      </c>
      <c r="B51" s="6" t="s">
        <v>44</v>
      </c>
      <c r="C51" s="6" t="s">
        <v>46</v>
      </c>
      <c r="D51" s="6" t="s">
        <v>616</v>
      </c>
      <c r="E51" s="6" t="s">
        <v>686</v>
      </c>
      <c r="F51" s="6" t="s">
        <v>33</v>
      </c>
      <c r="G51" s="6" t="s">
        <v>690</v>
      </c>
      <c r="H51" s="6"/>
      <c r="I51" s="6" t="s">
        <v>693</v>
      </c>
      <c r="J51" s="6"/>
      <c r="K51" s="6"/>
      <c r="L51" s="6"/>
      <c r="M51" s="6"/>
      <c r="N51" s="6" t="s">
        <v>62</v>
      </c>
      <c r="O51" s="6" t="s">
        <v>64</v>
      </c>
      <c r="P51" s="9" t="s">
        <v>696</v>
      </c>
    </row>
    <row r="52" ht="15.75" customHeight="1">
      <c r="A52" s="2" t="s">
        <v>698</v>
      </c>
      <c r="B52" s="6" t="s">
        <v>44</v>
      </c>
      <c r="C52" s="6" t="s">
        <v>46</v>
      </c>
      <c r="D52" s="6" t="s">
        <v>616</v>
      </c>
      <c r="E52" s="6" t="s">
        <v>617</v>
      </c>
      <c r="F52" s="6" t="s">
        <v>33</v>
      </c>
      <c r="G52" s="6" t="s">
        <v>704</v>
      </c>
      <c r="H52" s="6"/>
      <c r="I52" s="6"/>
      <c r="J52" s="6"/>
      <c r="K52" s="6"/>
      <c r="L52" s="6"/>
      <c r="M52" s="6"/>
      <c r="N52" s="6" t="s">
        <v>62</v>
      </c>
      <c r="O52" s="6" t="s">
        <v>64</v>
      </c>
    </row>
    <row r="53" ht="15.75" customHeight="1">
      <c r="A53" s="2" t="s">
        <v>708</v>
      </c>
      <c r="B53" s="6" t="s">
        <v>98</v>
      </c>
      <c r="C53" s="6" t="s">
        <v>46</v>
      </c>
      <c r="D53" s="6" t="s">
        <v>616</v>
      </c>
      <c r="E53" s="6" t="s">
        <v>617</v>
      </c>
      <c r="F53" s="6" t="s">
        <v>33</v>
      </c>
      <c r="G53" s="6" t="s">
        <v>710</v>
      </c>
      <c r="H53" s="6"/>
      <c r="I53" s="6" t="s">
        <v>712</v>
      </c>
      <c r="J53" s="6"/>
      <c r="K53" s="6" t="s">
        <v>714</v>
      </c>
      <c r="L53" s="6" t="s">
        <v>715</v>
      </c>
      <c r="M53" s="6" t="s">
        <v>717</v>
      </c>
      <c r="N53" s="6"/>
      <c r="O53" s="6" t="s">
        <v>64</v>
      </c>
    </row>
    <row r="54" ht="15.75" customHeight="1">
      <c r="A54" s="2" t="s">
        <v>718</v>
      </c>
      <c r="B54" s="6" t="s">
        <v>98</v>
      </c>
      <c r="C54" s="6" t="s">
        <v>46</v>
      </c>
      <c r="D54" s="6" t="s">
        <v>616</v>
      </c>
      <c r="E54" s="6" t="s">
        <v>686</v>
      </c>
      <c r="F54" s="6" t="s">
        <v>33</v>
      </c>
      <c r="G54" s="6" t="s">
        <v>725</v>
      </c>
      <c r="H54" s="6"/>
      <c r="I54" s="6" t="s">
        <v>726</v>
      </c>
      <c r="J54" s="6"/>
      <c r="K54" s="6"/>
      <c r="L54" s="6"/>
      <c r="M54" s="6"/>
      <c r="N54" s="6"/>
      <c r="O54" s="6" t="s">
        <v>64</v>
      </c>
    </row>
    <row r="55" ht="15.75" customHeight="1">
      <c r="A55" s="2" t="s">
        <v>728</v>
      </c>
      <c r="B55" s="6" t="s">
        <v>44</v>
      </c>
      <c r="C55" s="6" t="s">
        <v>46</v>
      </c>
      <c r="D55" s="6" t="s">
        <v>616</v>
      </c>
      <c r="E55" s="6" t="s">
        <v>617</v>
      </c>
      <c r="F55" s="6" t="s">
        <v>33</v>
      </c>
      <c r="G55" s="6" t="s">
        <v>732</v>
      </c>
      <c r="H55" s="6"/>
      <c r="I55" s="6"/>
      <c r="J55" s="6"/>
      <c r="K55" s="6"/>
      <c r="L55" s="6"/>
      <c r="M55" s="6"/>
      <c r="N55" s="6" t="s">
        <v>62</v>
      </c>
      <c r="O55" s="6" t="s">
        <v>64</v>
      </c>
    </row>
    <row r="56" ht="15.75" customHeight="1">
      <c r="A56" s="2" t="s">
        <v>738</v>
      </c>
      <c r="B56" s="6" t="s">
        <v>44</v>
      </c>
      <c r="C56" s="6" t="s">
        <v>46</v>
      </c>
      <c r="D56" s="6" t="s">
        <v>616</v>
      </c>
      <c r="E56" s="6" t="s">
        <v>617</v>
      </c>
      <c r="F56" s="6" t="s">
        <v>33</v>
      </c>
      <c r="G56" s="6" t="s">
        <v>741</v>
      </c>
      <c r="H56" s="6"/>
      <c r="I56" s="6" t="s">
        <v>742</v>
      </c>
      <c r="J56" s="6"/>
      <c r="K56" s="6" t="s">
        <v>744</v>
      </c>
      <c r="L56" s="6" t="s">
        <v>745</v>
      </c>
      <c r="M56" s="6" t="s">
        <v>278</v>
      </c>
      <c r="N56" s="6" t="s">
        <v>62</v>
      </c>
      <c r="O56" s="6" t="s">
        <v>64</v>
      </c>
    </row>
    <row r="57" ht="15.75" customHeight="1">
      <c r="A57" s="2" t="s">
        <v>752</v>
      </c>
      <c r="B57" s="6" t="s">
        <v>44</v>
      </c>
      <c r="C57" s="6" t="s">
        <v>46</v>
      </c>
      <c r="D57" s="6" t="s">
        <v>616</v>
      </c>
      <c r="E57" s="6" t="s">
        <v>617</v>
      </c>
      <c r="F57" s="6" t="s">
        <v>33</v>
      </c>
      <c r="G57" s="6" t="s">
        <v>756</v>
      </c>
      <c r="H57" s="6"/>
      <c r="I57" s="6" t="s">
        <v>758</v>
      </c>
      <c r="J57" s="6"/>
      <c r="K57" s="6" t="s">
        <v>760</v>
      </c>
      <c r="L57" s="6" t="s">
        <v>763</v>
      </c>
      <c r="M57" s="6" t="s">
        <v>493</v>
      </c>
      <c r="N57" s="6" t="s">
        <v>62</v>
      </c>
      <c r="O57" s="6" t="s">
        <v>64</v>
      </c>
    </row>
    <row r="58" ht="15.75" customHeight="1">
      <c r="A58" s="2" t="s">
        <v>768</v>
      </c>
      <c r="B58" s="6" t="s">
        <v>44</v>
      </c>
      <c r="C58" s="6" t="s">
        <v>46</v>
      </c>
      <c r="D58" s="6" t="s">
        <v>773</v>
      </c>
      <c r="E58" s="6" t="s">
        <v>775</v>
      </c>
      <c r="F58" s="6" t="s">
        <v>33</v>
      </c>
      <c r="G58" s="6" t="s">
        <v>778</v>
      </c>
      <c r="H58" s="6"/>
      <c r="I58" s="6" t="s">
        <v>779</v>
      </c>
      <c r="J58" s="6"/>
      <c r="K58" s="6"/>
      <c r="L58" s="6"/>
      <c r="M58" s="6"/>
      <c r="N58" s="6" t="s">
        <v>62</v>
      </c>
      <c r="O58" s="6" t="s">
        <v>64</v>
      </c>
    </row>
    <row r="59" ht="15.75" customHeight="1">
      <c r="A59" s="2" t="s">
        <v>785</v>
      </c>
      <c r="B59" s="6" t="s">
        <v>98</v>
      </c>
      <c r="C59" s="6" t="s">
        <v>46</v>
      </c>
      <c r="D59" s="6" t="s">
        <v>787</v>
      </c>
      <c r="E59" s="6" t="s">
        <v>789</v>
      </c>
      <c r="F59" s="6" t="s">
        <v>33</v>
      </c>
      <c r="G59" s="6" t="s">
        <v>791</v>
      </c>
      <c r="H59" s="6"/>
      <c r="I59" s="6" t="s">
        <v>792</v>
      </c>
      <c r="J59" s="6"/>
      <c r="K59" s="6" t="s">
        <v>794</v>
      </c>
      <c r="L59" s="6" t="s">
        <v>795</v>
      </c>
      <c r="M59" s="6" t="s">
        <v>278</v>
      </c>
      <c r="N59" s="6"/>
      <c r="O59" s="6" t="s">
        <v>64</v>
      </c>
    </row>
    <row r="60" ht="15.75" customHeight="1">
      <c r="A60" s="2" t="s">
        <v>799</v>
      </c>
      <c r="B60" s="6" t="s">
        <v>98</v>
      </c>
      <c r="C60" s="6" t="s">
        <v>46</v>
      </c>
      <c r="D60" s="6" t="s">
        <v>800</v>
      </c>
      <c r="E60" s="6" t="s">
        <v>802</v>
      </c>
      <c r="F60" s="6" t="s">
        <v>33</v>
      </c>
      <c r="G60" s="6" t="s">
        <v>803</v>
      </c>
      <c r="H60" s="6"/>
      <c r="I60" s="6" t="s">
        <v>805</v>
      </c>
      <c r="J60" s="6"/>
      <c r="K60" s="6"/>
      <c r="L60" s="6"/>
      <c r="M60" s="6"/>
      <c r="N60" s="6"/>
      <c r="O60" s="6" t="s">
        <v>64</v>
      </c>
    </row>
    <row r="61" ht="15.75" customHeight="1">
      <c r="A61" s="2" t="s">
        <v>807</v>
      </c>
      <c r="B61" s="6" t="s">
        <v>44</v>
      </c>
      <c r="C61" s="6" t="s">
        <v>46</v>
      </c>
      <c r="D61" s="6" t="s">
        <v>810</v>
      </c>
      <c r="E61" s="6" t="s">
        <v>811</v>
      </c>
      <c r="F61" s="6" t="s">
        <v>33</v>
      </c>
      <c r="G61" s="26" t="s">
        <v>815</v>
      </c>
      <c r="H61" s="6"/>
      <c r="I61" s="6" t="s">
        <v>821</v>
      </c>
      <c r="J61" s="6"/>
      <c r="K61" s="6"/>
      <c r="L61" s="6"/>
      <c r="M61" s="6"/>
      <c r="N61" s="6" t="s">
        <v>62</v>
      </c>
      <c r="O61" s="6" t="s">
        <v>64</v>
      </c>
    </row>
    <row r="62" ht="15.75" customHeight="1">
      <c r="A62" s="2" t="s">
        <v>825</v>
      </c>
      <c r="B62" s="6" t="s">
        <v>44</v>
      </c>
      <c r="C62" s="6" t="s">
        <v>46</v>
      </c>
      <c r="D62" s="6" t="s">
        <v>810</v>
      </c>
      <c r="E62" s="6" t="s">
        <v>829</v>
      </c>
      <c r="F62" s="6" t="s">
        <v>33</v>
      </c>
      <c r="G62" s="6" t="s">
        <v>831</v>
      </c>
      <c r="H62" s="6"/>
      <c r="I62" s="6" t="s">
        <v>835</v>
      </c>
      <c r="J62" s="6"/>
      <c r="K62" s="6"/>
      <c r="L62" s="6"/>
      <c r="M62" s="6"/>
      <c r="N62" s="6" t="s">
        <v>62</v>
      </c>
      <c r="O62" s="6" t="s">
        <v>64</v>
      </c>
    </row>
    <row r="63" ht="15.75" customHeight="1">
      <c r="A63" s="2" t="s">
        <v>841</v>
      </c>
      <c r="B63" s="6" t="s">
        <v>44</v>
      </c>
      <c r="C63" s="6" t="s">
        <v>46</v>
      </c>
      <c r="D63" s="6" t="s">
        <v>845</v>
      </c>
      <c r="E63" s="6" t="s">
        <v>847</v>
      </c>
      <c r="F63" s="6" t="s">
        <v>33</v>
      </c>
      <c r="G63" s="6" t="s">
        <v>850</v>
      </c>
      <c r="H63" s="6"/>
      <c r="I63" s="6" t="s">
        <v>851</v>
      </c>
      <c r="J63" s="6"/>
      <c r="K63" s="6"/>
      <c r="L63" s="6"/>
      <c r="M63" s="6"/>
      <c r="N63" s="6" t="s">
        <v>62</v>
      </c>
      <c r="O63" s="6" t="s">
        <v>64</v>
      </c>
    </row>
    <row r="64" ht="15.75" customHeight="1">
      <c r="A64" s="2" t="s">
        <v>854</v>
      </c>
      <c r="B64" s="6" t="s">
        <v>44</v>
      </c>
      <c r="C64" s="6" t="s">
        <v>46</v>
      </c>
      <c r="D64" s="6" t="s">
        <v>856</v>
      </c>
      <c r="E64" s="6" t="s">
        <v>858</v>
      </c>
      <c r="F64" s="6" t="s">
        <v>33</v>
      </c>
      <c r="G64" s="6" t="s">
        <v>861</v>
      </c>
      <c r="H64" s="6"/>
      <c r="I64" s="6" t="s">
        <v>863</v>
      </c>
      <c r="J64" s="6"/>
      <c r="K64" s="6"/>
      <c r="L64" s="6"/>
      <c r="M64" s="6"/>
      <c r="N64" s="6" t="s">
        <v>867</v>
      </c>
      <c r="O64" s="6" t="s">
        <v>64</v>
      </c>
    </row>
    <row r="65" ht="15.75" customHeight="1">
      <c r="A65" s="2" t="s">
        <v>869</v>
      </c>
      <c r="B65" s="6" t="s">
        <v>98</v>
      </c>
      <c r="C65" s="6" t="s">
        <v>46</v>
      </c>
      <c r="D65" s="6" t="s">
        <v>872</v>
      </c>
      <c r="E65" s="6" t="s">
        <v>873</v>
      </c>
      <c r="F65" s="6" t="s">
        <v>33</v>
      </c>
      <c r="G65" s="6" t="s">
        <v>875</v>
      </c>
      <c r="H65" s="6"/>
      <c r="I65" s="6" t="s">
        <v>878</v>
      </c>
      <c r="J65" s="6"/>
      <c r="K65" s="6"/>
      <c r="L65" s="6"/>
      <c r="M65" s="6"/>
      <c r="N65" s="6"/>
      <c r="O65" s="6" t="s">
        <v>64</v>
      </c>
    </row>
    <row r="66" ht="15.75" customHeight="1">
      <c r="A66" s="2" t="s">
        <v>879</v>
      </c>
      <c r="B66" s="6" t="s">
        <v>44</v>
      </c>
      <c r="C66" s="6" t="s">
        <v>46</v>
      </c>
      <c r="D66" s="6" t="s">
        <v>872</v>
      </c>
      <c r="E66" s="6" t="s">
        <v>873</v>
      </c>
      <c r="F66" s="6" t="s">
        <v>33</v>
      </c>
      <c r="G66" s="6" t="s">
        <v>882</v>
      </c>
      <c r="H66" s="6"/>
      <c r="I66" s="6" t="s">
        <v>883</v>
      </c>
      <c r="J66" s="6"/>
      <c r="K66" s="6"/>
      <c r="L66" s="6"/>
      <c r="M66" s="6"/>
      <c r="N66" s="6" t="s">
        <v>62</v>
      </c>
      <c r="O66" s="6" t="s">
        <v>64</v>
      </c>
    </row>
    <row r="67" ht="15.75" customHeight="1">
      <c r="A67" s="2" t="s">
        <v>887</v>
      </c>
      <c r="B67" s="6" t="s">
        <v>44</v>
      </c>
      <c r="C67" s="6" t="s">
        <v>46</v>
      </c>
      <c r="D67" s="6" t="s">
        <v>872</v>
      </c>
      <c r="E67" s="6" t="s">
        <v>873</v>
      </c>
      <c r="F67" s="6" t="s">
        <v>33</v>
      </c>
      <c r="G67" s="6" t="s">
        <v>890</v>
      </c>
      <c r="H67" s="6"/>
      <c r="I67" s="6" t="s">
        <v>893</v>
      </c>
      <c r="J67" s="6"/>
      <c r="K67" s="6" t="s">
        <v>895</v>
      </c>
      <c r="L67" s="6" t="s">
        <v>896</v>
      </c>
      <c r="M67" s="6" t="s">
        <v>113</v>
      </c>
      <c r="N67" s="6" t="s">
        <v>62</v>
      </c>
      <c r="O67" s="6" t="s">
        <v>64</v>
      </c>
    </row>
    <row r="68" ht="15.75" customHeight="1">
      <c r="A68" s="2" t="s">
        <v>900</v>
      </c>
      <c r="B68" s="6" t="s">
        <v>44</v>
      </c>
      <c r="C68" s="6" t="s">
        <v>46</v>
      </c>
      <c r="D68" s="6" t="s">
        <v>872</v>
      </c>
      <c r="E68" s="6" t="s">
        <v>873</v>
      </c>
      <c r="F68" s="6" t="s">
        <v>33</v>
      </c>
      <c r="G68" s="6" t="s">
        <v>903</v>
      </c>
      <c r="H68" s="6"/>
      <c r="I68" s="6" t="s">
        <v>904</v>
      </c>
      <c r="J68" s="6"/>
      <c r="K68" s="6"/>
      <c r="L68" s="6"/>
      <c r="M68" s="6"/>
      <c r="N68" s="6" t="s">
        <v>62</v>
      </c>
      <c r="O68" s="6" t="s">
        <v>64</v>
      </c>
    </row>
    <row r="69" ht="15.75" customHeight="1">
      <c r="A69" s="2" t="s">
        <v>905</v>
      </c>
      <c r="B69" s="6" t="s">
        <v>98</v>
      </c>
      <c r="C69" s="6" t="s">
        <v>46</v>
      </c>
      <c r="D69" s="6" t="s">
        <v>872</v>
      </c>
      <c r="E69" s="6" t="s">
        <v>873</v>
      </c>
      <c r="F69" s="6" t="s">
        <v>33</v>
      </c>
      <c r="G69" s="6" t="s">
        <v>907</v>
      </c>
      <c r="H69" s="6"/>
      <c r="I69" s="6" t="s">
        <v>909</v>
      </c>
      <c r="J69" s="6"/>
      <c r="K69" s="6"/>
      <c r="L69" s="6"/>
      <c r="M69" s="6"/>
      <c r="N69" s="6"/>
      <c r="O69" s="6" t="s">
        <v>64</v>
      </c>
    </row>
    <row r="70" ht="15.75" customHeight="1">
      <c r="A70" s="2" t="s">
        <v>914</v>
      </c>
      <c r="B70" s="6" t="s">
        <v>98</v>
      </c>
      <c r="C70" s="6" t="s">
        <v>46</v>
      </c>
      <c r="D70" s="6" t="s">
        <v>917</v>
      </c>
      <c r="E70" s="6" t="s">
        <v>918</v>
      </c>
      <c r="F70" s="6" t="s">
        <v>33</v>
      </c>
      <c r="G70" s="6" t="s">
        <v>921</v>
      </c>
      <c r="H70" s="6"/>
      <c r="I70" s="6" t="s">
        <v>923</v>
      </c>
      <c r="J70" s="6"/>
      <c r="K70" s="6"/>
      <c r="L70" s="6"/>
      <c r="M70" s="6"/>
      <c r="N70" s="6"/>
      <c r="O70" s="6" t="s">
        <v>64</v>
      </c>
    </row>
    <row r="71" ht="15.75" customHeight="1">
      <c r="A71" s="2" t="s">
        <v>931</v>
      </c>
      <c r="B71" s="6" t="s">
        <v>98</v>
      </c>
      <c r="C71" s="6" t="s">
        <v>46</v>
      </c>
      <c r="D71" s="6" t="s">
        <v>933</v>
      </c>
      <c r="E71" s="6" t="s">
        <v>918</v>
      </c>
      <c r="F71" s="6" t="s">
        <v>33</v>
      </c>
      <c r="G71" s="6" t="s">
        <v>936</v>
      </c>
      <c r="H71" s="6"/>
      <c r="I71" s="6" t="s">
        <v>937</v>
      </c>
      <c r="J71" s="6"/>
      <c r="K71" s="6"/>
      <c r="L71" s="6"/>
      <c r="M71" s="6"/>
      <c r="N71" s="6"/>
      <c r="O71" s="6" t="s">
        <v>64</v>
      </c>
    </row>
    <row r="72" ht="15.75" customHeight="1">
      <c r="A72" s="2" t="s">
        <v>943</v>
      </c>
      <c r="B72" s="6" t="s">
        <v>98</v>
      </c>
      <c r="C72" s="6" t="s">
        <v>46</v>
      </c>
      <c r="D72" s="6" t="s">
        <v>945</v>
      </c>
      <c r="E72" s="6" t="s">
        <v>946</v>
      </c>
      <c r="F72" s="6" t="s">
        <v>33</v>
      </c>
      <c r="G72" s="6" t="s">
        <v>948</v>
      </c>
      <c r="H72" s="6"/>
      <c r="I72" s="6" t="s">
        <v>949</v>
      </c>
      <c r="J72" s="6"/>
      <c r="K72" s="6"/>
      <c r="L72" s="6"/>
      <c r="M72" s="6"/>
      <c r="N72" s="6"/>
      <c r="O72" s="6" t="s">
        <v>64</v>
      </c>
    </row>
    <row r="73" ht="15.75" customHeight="1">
      <c r="A73" s="2" t="s">
        <v>954</v>
      </c>
      <c r="B73" s="6" t="s">
        <v>98</v>
      </c>
      <c r="C73" s="6" t="s">
        <v>46</v>
      </c>
      <c r="D73" s="6" t="s">
        <v>945</v>
      </c>
      <c r="E73" s="6" t="s">
        <v>946</v>
      </c>
      <c r="F73" s="6" t="s">
        <v>33</v>
      </c>
      <c r="G73" s="6" t="s">
        <v>958</v>
      </c>
      <c r="H73" s="6"/>
      <c r="I73" s="6" t="s">
        <v>960</v>
      </c>
      <c r="J73" s="6"/>
      <c r="K73" s="6"/>
      <c r="L73" s="6"/>
      <c r="M73" s="6"/>
      <c r="N73" s="6"/>
      <c r="O73" s="6" t="s">
        <v>64</v>
      </c>
    </row>
    <row r="74" ht="15.75" customHeight="1">
      <c r="A74" s="2" t="s">
        <v>965</v>
      </c>
      <c r="B74" s="6" t="s">
        <v>44</v>
      </c>
      <c r="C74" s="6" t="s">
        <v>46</v>
      </c>
      <c r="D74" s="6" t="s">
        <v>967</v>
      </c>
      <c r="E74" s="6" t="s">
        <v>968</v>
      </c>
      <c r="F74" s="6" t="s">
        <v>33</v>
      </c>
      <c r="G74" s="6" t="s">
        <v>971</v>
      </c>
      <c r="H74" s="6"/>
      <c r="I74" s="6" t="s">
        <v>973</v>
      </c>
      <c r="J74" s="6"/>
      <c r="K74" s="6" t="s">
        <v>974</v>
      </c>
      <c r="L74" s="6" t="s">
        <v>976</v>
      </c>
      <c r="M74" s="6" t="s">
        <v>980</v>
      </c>
      <c r="N74" s="6" t="s">
        <v>62</v>
      </c>
      <c r="O74" s="6" t="s">
        <v>64</v>
      </c>
    </row>
    <row r="75" ht="15.75" customHeight="1">
      <c r="A75" s="2" t="s">
        <v>982</v>
      </c>
      <c r="B75" s="6" t="s">
        <v>98</v>
      </c>
      <c r="C75" s="6" t="s">
        <v>46</v>
      </c>
      <c r="D75" s="6" t="s">
        <v>985</v>
      </c>
      <c r="E75" s="6" t="s">
        <v>986</v>
      </c>
      <c r="F75" s="6" t="s">
        <v>33</v>
      </c>
      <c r="G75" s="6" t="s">
        <v>988</v>
      </c>
      <c r="H75" s="6"/>
      <c r="I75" s="6" t="s">
        <v>990</v>
      </c>
      <c r="J75" s="6"/>
      <c r="K75" s="6"/>
      <c r="L75" s="6"/>
      <c r="M75" s="6"/>
      <c r="N75" s="6"/>
      <c r="O75" s="6" t="s">
        <v>64</v>
      </c>
    </row>
    <row r="76" ht="15.75" customHeight="1">
      <c r="A76" s="2" t="s">
        <v>993</v>
      </c>
      <c r="B76" s="6" t="s">
        <v>44</v>
      </c>
      <c r="C76" s="6" t="s">
        <v>46</v>
      </c>
      <c r="D76" s="6" t="s">
        <v>995</v>
      </c>
      <c r="E76" s="6" t="s">
        <v>802</v>
      </c>
      <c r="F76" s="6" t="s">
        <v>33</v>
      </c>
      <c r="G76" s="6" t="s">
        <v>999</v>
      </c>
      <c r="H76" s="6"/>
      <c r="I76" s="6"/>
      <c r="J76" s="6"/>
      <c r="K76" s="6" t="s">
        <v>1003</v>
      </c>
      <c r="L76" s="6" t="s">
        <v>1004</v>
      </c>
      <c r="M76" s="6" t="s">
        <v>113</v>
      </c>
      <c r="N76" s="6" t="s">
        <v>62</v>
      </c>
      <c r="O76" s="6" t="s">
        <v>64</v>
      </c>
    </row>
    <row r="77" ht="15.75" customHeight="1">
      <c r="A77" s="2" t="s">
        <v>1006</v>
      </c>
      <c r="B77" s="6" t="s">
        <v>44</v>
      </c>
      <c r="C77" s="6" t="s">
        <v>46</v>
      </c>
      <c r="D77" s="6" t="s">
        <v>1009</v>
      </c>
      <c r="E77" s="6" t="s">
        <v>1011</v>
      </c>
      <c r="F77" s="6" t="s">
        <v>33</v>
      </c>
      <c r="G77" s="6" t="s">
        <v>1013</v>
      </c>
      <c r="H77" s="6"/>
      <c r="I77" s="6" t="s">
        <v>1014</v>
      </c>
      <c r="J77" s="6"/>
      <c r="K77" s="6"/>
      <c r="L77" s="6"/>
      <c r="M77" s="6"/>
      <c r="N77" s="6" t="s">
        <v>62</v>
      </c>
      <c r="O77" s="6" t="s">
        <v>64</v>
      </c>
    </row>
    <row r="78" ht="15.75" customHeight="1">
      <c r="A78" s="2" t="s">
        <v>1017</v>
      </c>
      <c r="B78" s="6" t="s">
        <v>98</v>
      </c>
      <c r="C78" s="6" t="s">
        <v>46</v>
      </c>
      <c r="D78" s="6" t="s">
        <v>1019</v>
      </c>
      <c r="E78" s="6" t="s">
        <v>918</v>
      </c>
      <c r="F78" s="6" t="s">
        <v>33</v>
      </c>
      <c r="G78" s="6" t="s">
        <v>1021</v>
      </c>
      <c r="H78" s="6"/>
      <c r="I78" s="6" t="s">
        <v>1022</v>
      </c>
      <c r="J78" s="6"/>
      <c r="K78" s="6"/>
      <c r="L78" s="6"/>
      <c r="M78" s="6"/>
      <c r="N78" s="6" t="s">
        <v>479</v>
      </c>
      <c r="O78" s="6" t="s">
        <v>64</v>
      </c>
    </row>
    <row r="79" ht="15.75" customHeight="1">
      <c r="A79" s="2" t="s">
        <v>1027</v>
      </c>
      <c r="B79" s="6" t="s">
        <v>44</v>
      </c>
      <c r="C79" s="6" t="s">
        <v>46</v>
      </c>
      <c r="D79" s="6" t="s">
        <v>1031</v>
      </c>
      <c r="E79" s="6" t="s">
        <v>1033</v>
      </c>
      <c r="F79" s="6" t="s">
        <v>33</v>
      </c>
      <c r="G79" s="6" t="s">
        <v>1034</v>
      </c>
      <c r="H79" s="6"/>
      <c r="I79" s="6" t="s">
        <v>1035</v>
      </c>
      <c r="J79" s="6"/>
      <c r="K79" s="6" t="s">
        <v>1037</v>
      </c>
      <c r="L79" s="6" t="s">
        <v>1039</v>
      </c>
      <c r="M79" s="6" t="s">
        <v>278</v>
      </c>
      <c r="N79" s="6" t="s">
        <v>62</v>
      </c>
      <c r="O79" s="6" t="s">
        <v>64</v>
      </c>
    </row>
    <row r="80" ht="15.75" customHeight="1">
      <c r="A80" s="2" t="s">
        <v>1045</v>
      </c>
      <c r="B80" s="6" t="s">
        <v>44</v>
      </c>
      <c r="C80" s="6" t="s">
        <v>46</v>
      </c>
      <c r="D80" s="6" t="s">
        <v>1046</v>
      </c>
      <c r="E80" s="6" t="s">
        <v>1050</v>
      </c>
      <c r="F80" s="6" t="s">
        <v>33</v>
      </c>
      <c r="G80" s="6" t="s">
        <v>1053</v>
      </c>
      <c r="H80" s="6"/>
      <c r="I80" s="6" t="s">
        <v>1054</v>
      </c>
      <c r="J80" s="6"/>
      <c r="K80" s="6" t="s">
        <v>1057</v>
      </c>
      <c r="L80" s="6" t="s">
        <v>1060</v>
      </c>
      <c r="M80" s="6" t="s">
        <v>585</v>
      </c>
      <c r="N80" s="6" t="s">
        <v>62</v>
      </c>
      <c r="O80" s="6" t="s">
        <v>64</v>
      </c>
    </row>
    <row r="81" ht="15.75" customHeight="1">
      <c r="A81" s="2" t="s">
        <v>1062</v>
      </c>
      <c r="B81" s="6" t="s">
        <v>98</v>
      </c>
      <c r="C81" s="6" t="s">
        <v>46</v>
      </c>
      <c r="D81" s="6" t="s">
        <v>1067</v>
      </c>
      <c r="E81" s="6" t="s">
        <v>1068</v>
      </c>
      <c r="F81" s="6" t="s">
        <v>33</v>
      </c>
      <c r="G81" s="6" t="s">
        <v>1074</v>
      </c>
      <c r="H81" s="6"/>
      <c r="I81" s="6" t="s">
        <v>1076</v>
      </c>
      <c r="J81" s="6"/>
      <c r="K81" s="6" t="s">
        <v>1078</v>
      </c>
      <c r="L81" s="6" t="s">
        <v>1080</v>
      </c>
      <c r="M81" s="6" t="s">
        <v>1083</v>
      </c>
      <c r="N81" s="6"/>
      <c r="O81" s="6" t="s">
        <v>64</v>
      </c>
    </row>
    <row r="82" ht="15.75" customHeight="1">
      <c r="A82" s="2" t="s">
        <v>1091</v>
      </c>
      <c r="B82" s="6" t="s">
        <v>98</v>
      </c>
      <c r="C82" s="6" t="s">
        <v>46</v>
      </c>
      <c r="D82" s="6" t="s">
        <v>1094</v>
      </c>
      <c r="E82" s="6" t="s">
        <v>1095</v>
      </c>
      <c r="F82" s="6" t="s">
        <v>33</v>
      </c>
      <c r="G82" s="6" t="s">
        <v>1098</v>
      </c>
      <c r="H82" s="6"/>
      <c r="I82" s="6" t="s">
        <v>1101</v>
      </c>
      <c r="J82" s="6"/>
      <c r="K82" s="6"/>
      <c r="L82" s="6"/>
      <c r="M82" s="6"/>
      <c r="N82" s="6"/>
      <c r="O82" s="6" t="s">
        <v>64</v>
      </c>
    </row>
    <row r="83" ht="15.75" customHeight="1">
      <c r="A83" s="2" t="s">
        <v>1111</v>
      </c>
      <c r="B83" s="6" t="s">
        <v>74</v>
      </c>
      <c r="C83" s="6" t="s">
        <v>46</v>
      </c>
      <c r="D83" s="6" t="s">
        <v>1117</v>
      </c>
      <c r="E83" s="6" t="s">
        <v>1119</v>
      </c>
      <c r="F83" s="6" t="s">
        <v>33</v>
      </c>
      <c r="G83" s="6" t="s">
        <v>1122</v>
      </c>
      <c r="H83" s="6"/>
      <c r="I83" s="6"/>
      <c r="J83" s="6" t="s">
        <v>1124</v>
      </c>
      <c r="K83" s="6"/>
      <c r="L83" s="6"/>
      <c r="M83" s="6"/>
      <c r="N83" s="6"/>
      <c r="O83" s="6" t="s">
        <v>92</v>
      </c>
    </row>
    <row r="84" ht="15.75" customHeight="1">
      <c r="A84" s="2" t="s">
        <v>1131</v>
      </c>
      <c r="B84" s="6" t="s">
        <v>44</v>
      </c>
      <c r="C84" s="6" t="s">
        <v>46</v>
      </c>
      <c r="D84" s="6" t="s">
        <v>1136</v>
      </c>
      <c r="E84" s="6" t="s">
        <v>1095</v>
      </c>
      <c r="F84" s="6" t="s">
        <v>33</v>
      </c>
      <c r="G84" s="6" t="s">
        <v>1140</v>
      </c>
      <c r="H84" s="6"/>
      <c r="I84" s="6" t="s">
        <v>1143</v>
      </c>
      <c r="J84" s="6"/>
      <c r="K84" s="6"/>
      <c r="L84" s="6"/>
      <c r="M84" s="6"/>
      <c r="N84" s="6" t="s">
        <v>62</v>
      </c>
      <c r="O84" s="6" t="s">
        <v>64</v>
      </c>
    </row>
    <row r="85" ht="15.75" customHeight="1">
      <c r="A85" s="2" t="s">
        <v>1155</v>
      </c>
      <c r="B85" s="6" t="s">
        <v>98</v>
      </c>
      <c r="C85" s="6" t="s">
        <v>46</v>
      </c>
      <c r="D85" s="6" t="s">
        <v>1136</v>
      </c>
      <c r="E85" s="6" t="s">
        <v>1095</v>
      </c>
      <c r="F85" s="6" t="s">
        <v>33</v>
      </c>
      <c r="G85" s="6" t="s">
        <v>1165</v>
      </c>
      <c r="H85" s="6"/>
      <c r="I85" s="6" t="s">
        <v>1168</v>
      </c>
      <c r="J85" s="6"/>
      <c r="K85" s="6"/>
      <c r="L85" s="6"/>
      <c r="M85" s="6"/>
      <c r="N85" s="6"/>
      <c r="O85" s="6" t="s">
        <v>64</v>
      </c>
    </row>
    <row r="86" ht="15.75" customHeight="1">
      <c r="A86" s="2" t="s">
        <v>1176</v>
      </c>
      <c r="B86" s="6" t="s">
        <v>98</v>
      </c>
      <c r="C86" s="6" t="s">
        <v>46</v>
      </c>
      <c r="D86" s="6" t="s">
        <v>1136</v>
      </c>
      <c r="E86" s="6" t="s">
        <v>1095</v>
      </c>
      <c r="F86" s="6" t="s">
        <v>33</v>
      </c>
      <c r="G86" s="6" t="s">
        <v>1181</v>
      </c>
      <c r="H86" s="6"/>
      <c r="I86" s="6" t="s">
        <v>1184</v>
      </c>
      <c r="J86" s="6"/>
      <c r="K86" s="6"/>
      <c r="L86" s="6"/>
      <c r="M86" s="6"/>
      <c r="N86" s="6"/>
      <c r="O86" s="6" t="s">
        <v>64</v>
      </c>
    </row>
    <row r="87" ht="15.75" customHeight="1">
      <c r="A87" s="2" t="s">
        <v>1191</v>
      </c>
      <c r="B87" s="6" t="s">
        <v>98</v>
      </c>
      <c r="C87" s="6" t="s">
        <v>46</v>
      </c>
      <c r="D87" s="6" t="s">
        <v>1136</v>
      </c>
      <c r="E87" s="6" t="s">
        <v>1095</v>
      </c>
      <c r="F87" s="6" t="s">
        <v>33</v>
      </c>
      <c r="G87" s="6" t="s">
        <v>1196</v>
      </c>
      <c r="H87" s="6"/>
      <c r="I87" s="6" t="s">
        <v>1197</v>
      </c>
      <c r="J87" s="6"/>
      <c r="K87" s="6" t="s">
        <v>1198</v>
      </c>
      <c r="L87" s="6" t="s">
        <v>1200</v>
      </c>
      <c r="M87" s="6" t="s">
        <v>537</v>
      </c>
      <c r="N87" s="6"/>
      <c r="O87" s="6" t="s">
        <v>64</v>
      </c>
    </row>
    <row r="88" ht="15.75" customHeight="1">
      <c r="A88" s="2" t="s">
        <v>1206</v>
      </c>
      <c r="B88" s="6" t="s">
        <v>98</v>
      </c>
      <c r="C88" s="6" t="s">
        <v>46</v>
      </c>
      <c r="D88" s="6" t="s">
        <v>1136</v>
      </c>
      <c r="E88" s="6" t="s">
        <v>1095</v>
      </c>
      <c r="F88" s="6" t="s">
        <v>33</v>
      </c>
      <c r="G88" s="6" t="s">
        <v>1212</v>
      </c>
      <c r="H88" s="6"/>
      <c r="I88" s="6" t="s">
        <v>1215</v>
      </c>
      <c r="J88" s="6"/>
      <c r="K88" s="6"/>
      <c r="L88" s="6"/>
      <c r="M88" s="6"/>
      <c r="N88" s="6"/>
      <c r="O88" s="6" t="s">
        <v>64</v>
      </c>
    </row>
    <row r="89" ht="15.75" customHeight="1">
      <c r="A89" s="2" t="s">
        <v>1219</v>
      </c>
      <c r="B89" s="6" t="s">
        <v>98</v>
      </c>
      <c r="C89" s="6" t="s">
        <v>46</v>
      </c>
      <c r="D89" s="6" t="s">
        <v>1136</v>
      </c>
      <c r="E89" s="6" t="s">
        <v>1095</v>
      </c>
      <c r="F89" s="6" t="s">
        <v>33</v>
      </c>
      <c r="G89" s="6" t="s">
        <v>1224</v>
      </c>
      <c r="H89" s="6"/>
      <c r="I89" s="6" t="s">
        <v>1225</v>
      </c>
      <c r="J89" s="6"/>
      <c r="K89" s="6"/>
      <c r="L89" s="6"/>
      <c r="M89" s="6"/>
      <c r="N89" s="6"/>
      <c r="O89" s="6" t="s">
        <v>64</v>
      </c>
    </row>
    <row r="90" ht="15.75" customHeight="1">
      <c r="A90" s="2" t="s">
        <v>1228</v>
      </c>
      <c r="B90" s="6" t="s">
        <v>98</v>
      </c>
      <c r="C90" s="6" t="s">
        <v>46</v>
      </c>
      <c r="D90" s="6" t="s">
        <v>1232</v>
      </c>
      <c r="E90" s="6" t="s">
        <v>1233</v>
      </c>
      <c r="F90" s="6" t="s">
        <v>33</v>
      </c>
      <c r="G90" s="6" t="s">
        <v>1235</v>
      </c>
      <c r="H90" s="6"/>
      <c r="I90" s="6" t="s">
        <v>1236</v>
      </c>
      <c r="J90" s="6"/>
      <c r="K90" s="6" t="s">
        <v>1239</v>
      </c>
      <c r="L90" s="6" t="s">
        <v>1242</v>
      </c>
      <c r="M90" s="6" t="s">
        <v>523</v>
      </c>
      <c r="N90" s="6"/>
      <c r="O90" s="6" t="s">
        <v>64</v>
      </c>
    </row>
    <row r="91" ht="15.75" customHeight="1">
      <c r="A91" s="2" t="s">
        <v>1247</v>
      </c>
      <c r="B91" s="6" t="s">
        <v>98</v>
      </c>
      <c r="C91" s="6" t="s">
        <v>46</v>
      </c>
      <c r="D91" s="6" t="s">
        <v>1249</v>
      </c>
      <c r="E91" s="6" t="s">
        <v>1251</v>
      </c>
      <c r="F91" s="6" t="s">
        <v>33</v>
      </c>
      <c r="G91" s="6" t="s">
        <v>1254</v>
      </c>
      <c r="H91" s="6"/>
      <c r="I91" s="6" t="s">
        <v>1255</v>
      </c>
      <c r="J91" s="6"/>
      <c r="K91" s="6"/>
      <c r="L91" s="6"/>
      <c r="M91" s="6"/>
      <c r="N91" s="6"/>
      <c r="O91" s="6" t="s">
        <v>64</v>
      </c>
    </row>
    <row r="92" ht="15.75" customHeight="1">
      <c r="A92" s="20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 ht="15.75" customHeight="1">
      <c r="A93" s="2" t="s">
        <v>1267</v>
      </c>
      <c r="B93" s="6" t="s">
        <v>74</v>
      </c>
      <c r="C93" s="6" t="s">
        <v>46</v>
      </c>
      <c r="D93" s="6" t="s">
        <v>1270</v>
      </c>
      <c r="E93" s="6" t="s">
        <v>1272</v>
      </c>
      <c r="F93" s="6" t="s">
        <v>52</v>
      </c>
      <c r="G93" s="6" t="s">
        <v>1275</v>
      </c>
      <c r="H93" s="6"/>
      <c r="I93" s="6" t="s">
        <v>1278</v>
      </c>
      <c r="J93" s="6"/>
      <c r="K93" s="6"/>
      <c r="L93" s="6"/>
      <c r="M93" s="6"/>
      <c r="N93" s="6"/>
      <c r="O93" s="6" t="s">
        <v>92</v>
      </c>
    </row>
    <row r="94" ht="15.75" customHeight="1">
      <c r="A94" s="2" t="s">
        <v>1282</v>
      </c>
      <c r="B94" s="6" t="s">
        <v>1284</v>
      </c>
      <c r="C94" s="6" t="s">
        <v>46</v>
      </c>
      <c r="D94" s="6" t="s">
        <v>1286</v>
      </c>
      <c r="E94" s="6" t="s">
        <v>1288</v>
      </c>
      <c r="F94" s="6" t="s">
        <v>52</v>
      </c>
      <c r="G94" s="6" t="s">
        <v>1292</v>
      </c>
      <c r="H94" s="6"/>
      <c r="I94" s="6"/>
      <c r="J94" s="6" t="s">
        <v>1298</v>
      </c>
      <c r="K94" s="6"/>
      <c r="L94" s="6"/>
      <c r="M94" s="6"/>
      <c r="N94" s="6" t="s">
        <v>1293</v>
      </c>
      <c r="O94" s="6" t="s">
        <v>1295</v>
      </c>
    </row>
    <row r="95" ht="15.75" customHeight="1">
      <c r="A95" s="2" t="s">
        <v>1305</v>
      </c>
      <c r="B95" s="6" t="s">
        <v>1284</v>
      </c>
      <c r="C95" s="6" t="s">
        <v>46</v>
      </c>
      <c r="D95" s="6" t="s">
        <v>1308</v>
      </c>
      <c r="E95" s="6" t="s">
        <v>1311</v>
      </c>
      <c r="F95" s="6" t="s">
        <v>52</v>
      </c>
      <c r="G95" s="6" t="s">
        <v>1315</v>
      </c>
      <c r="H95" s="6"/>
      <c r="I95" s="6"/>
      <c r="J95" s="6"/>
      <c r="K95" s="6"/>
      <c r="L95" s="6"/>
      <c r="M95" s="6"/>
      <c r="N95" s="6" t="s">
        <v>1293</v>
      </c>
      <c r="O95" s="6" t="s">
        <v>1295</v>
      </c>
    </row>
    <row r="96" ht="15.75" customHeight="1">
      <c r="A96" s="2" t="s">
        <v>1325</v>
      </c>
      <c r="B96" s="6" t="s">
        <v>1284</v>
      </c>
      <c r="C96" s="6" t="s">
        <v>46</v>
      </c>
      <c r="D96" s="6" t="s">
        <v>1330</v>
      </c>
      <c r="E96" s="6" t="s">
        <v>1332</v>
      </c>
      <c r="F96" s="6" t="s">
        <v>52</v>
      </c>
      <c r="G96" s="6" t="s">
        <v>1336</v>
      </c>
      <c r="H96" s="6"/>
      <c r="I96" s="6"/>
      <c r="J96" s="6" t="s">
        <v>1338</v>
      </c>
      <c r="K96" s="6"/>
      <c r="L96" s="6"/>
      <c r="M96" s="6"/>
      <c r="N96" s="6" t="s">
        <v>1293</v>
      </c>
      <c r="O96" s="6" t="s">
        <v>1295</v>
      </c>
    </row>
    <row r="97" ht="15.75" customHeight="1">
      <c r="A97" s="2" t="s">
        <v>1345</v>
      </c>
      <c r="B97" s="6" t="s">
        <v>1284</v>
      </c>
      <c r="C97" s="6" t="s">
        <v>46</v>
      </c>
      <c r="D97" s="6" t="s">
        <v>1349</v>
      </c>
      <c r="E97" s="6" t="s">
        <v>1351</v>
      </c>
      <c r="F97" s="6" t="s">
        <v>52</v>
      </c>
      <c r="G97" s="6" t="s">
        <v>1354</v>
      </c>
      <c r="H97" s="6"/>
      <c r="I97" s="6"/>
      <c r="J97" s="6" t="s">
        <v>1358</v>
      </c>
      <c r="K97" s="6"/>
      <c r="L97" s="6"/>
      <c r="M97" s="6"/>
      <c r="N97" s="6" t="s">
        <v>1293</v>
      </c>
      <c r="O97" s="6" t="s">
        <v>1295</v>
      </c>
    </row>
    <row r="98" ht="15.75" customHeight="1">
      <c r="A98" s="2" t="s">
        <v>1367</v>
      </c>
      <c r="B98" s="6" t="s">
        <v>1284</v>
      </c>
      <c r="C98" s="6" t="s">
        <v>46</v>
      </c>
      <c r="D98" s="6" t="s">
        <v>1370</v>
      </c>
      <c r="E98" s="6" t="s">
        <v>1371</v>
      </c>
      <c r="F98" s="6" t="s">
        <v>52</v>
      </c>
      <c r="G98" s="6" t="s">
        <v>1375</v>
      </c>
      <c r="H98" s="6"/>
      <c r="I98" s="6"/>
      <c r="J98" s="6" t="s">
        <v>1378</v>
      </c>
      <c r="K98" s="6"/>
      <c r="L98" s="6"/>
      <c r="M98" s="6"/>
      <c r="N98" s="6" t="s">
        <v>1293</v>
      </c>
      <c r="O98" s="6" t="s">
        <v>1295</v>
      </c>
    </row>
    <row r="99" ht="15.75" customHeight="1">
      <c r="A99" s="2" t="s">
        <v>1383</v>
      </c>
      <c r="B99" s="6" t="s">
        <v>1284</v>
      </c>
      <c r="C99" s="6" t="s">
        <v>46</v>
      </c>
      <c r="D99" s="6" t="s">
        <v>1385</v>
      </c>
      <c r="E99" s="6" t="s">
        <v>1386</v>
      </c>
      <c r="F99" s="6" t="s">
        <v>52</v>
      </c>
      <c r="G99" s="6" t="s">
        <v>1387</v>
      </c>
      <c r="H99" s="6"/>
      <c r="I99" s="6"/>
      <c r="J99" s="6" t="s">
        <v>1388</v>
      </c>
      <c r="K99" s="6"/>
      <c r="L99" s="6"/>
      <c r="M99" s="6"/>
      <c r="N99" s="6" t="s">
        <v>1293</v>
      </c>
      <c r="O99" s="6" t="s">
        <v>1295</v>
      </c>
    </row>
    <row r="100" ht="15.75" customHeight="1">
      <c r="A100" s="20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</row>
    <row r="101" ht="15.75" customHeight="1">
      <c r="A101" s="2" t="s">
        <v>1401</v>
      </c>
      <c r="B101" s="6" t="s">
        <v>44</v>
      </c>
      <c r="C101" s="6" t="s">
        <v>46</v>
      </c>
      <c r="D101" s="6" t="s">
        <v>1405</v>
      </c>
      <c r="E101" s="6" t="s">
        <v>1406</v>
      </c>
      <c r="F101" s="6" t="s">
        <v>37</v>
      </c>
      <c r="G101" s="6" t="s">
        <v>1410</v>
      </c>
      <c r="H101" s="6"/>
      <c r="I101" s="6" t="s">
        <v>1414</v>
      </c>
      <c r="J101" s="6"/>
      <c r="K101" s="6"/>
      <c r="L101" s="6"/>
      <c r="M101" s="6"/>
      <c r="N101" s="6" t="s">
        <v>62</v>
      </c>
      <c r="O101" s="6" t="s">
        <v>64</v>
      </c>
    </row>
    <row r="102" ht="15.75" customHeight="1">
      <c r="A102" s="2" t="s">
        <v>1421</v>
      </c>
      <c r="B102" s="6" t="s">
        <v>44</v>
      </c>
      <c r="C102" s="6" t="s">
        <v>46</v>
      </c>
      <c r="D102" s="6" t="s">
        <v>1422</v>
      </c>
      <c r="E102" s="6" t="s">
        <v>1424</v>
      </c>
      <c r="F102" s="6" t="s">
        <v>37</v>
      </c>
      <c r="G102" s="6" t="s">
        <v>1426</v>
      </c>
      <c r="H102" s="6"/>
      <c r="I102" s="6" t="s">
        <v>1429</v>
      </c>
      <c r="J102" s="6"/>
      <c r="K102" s="6"/>
      <c r="L102" s="6"/>
      <c r="M102" s="6"/>
      <c r="N102" s="6" t="s">
        <v>62</v>
      </c>
      <c r="O102" s="6" t="s">
        <v>64</v>
      </c>
    </row>
    <row r="103" ht="15.75" customHeight="1">
      <c r="A103" s="2" t="s">
        <v>1434</v>
      </c>
      <c r="B103" s="6" t="s">
        <v>44</v>
      </c>
      <c r="C103" s="6" t="s">
        <v>46</v>
      </c>
      <c r="D103" s="6" t="s">
        <v>1422</v>
      </c>
      <c r="E103" s="6" t="s">
        <v>1424</v>
      </c>
      <c r="F103" s="6" t="s">
        <v>37</v>
      </c>
      <c r="G103" s="6" t="s">
        <v>1439</v>
      </c>
      <c r="H103" s="6"/>
      <c r="I103" s="6" t="s">
        <v>1441</v>
      </c>
      <c r="J103" s="6"/>
      <c r="K103" s="6" t="s">
        <v>1445</v>
      </c>
      <c r="L103" s="6" t="s">
        <v>1446</v>
      </c>
      <c r="M103" s="6" t="s">
        <v>155</v>
      </c>
      <c r="N103" s="6" t="s">
        <v>62</v>
      </c>
      <c r="O103" s="6" t="s">
        <v>64</v>
      </c>
    </row>
    <row r="104" ht="15.75" customHeight="1">
      <c r="A104" s="2" t="s">
        <v>1452</v>
      </c>
      <c r="B104" s="6" t="s">
        <v>44</v>
      </c>
      <c r="C104" s="6" t="s">
        <v>46</v>
      </c>
      <c r="D104" s="6" t="s">
        <v>1422</v>
      </c>
      <c r="E104" s="6" t="s">
        <v>1424</v>
      </c>
      <c r="F104" s="6" t="s">
        <v>37</v>
      </c>
      <c r="G104" s="6" t="s">
        <v>1455</v>
      </c>
      <c r="H104" s="6"/>
      <c r="I104" s="6"/>
      <c r="J104" s="6"/>
      <c r="K104" s="6" t="s">
        <v>1458</v>
      </c>
      <c r="L104" s="6" t="s">
        <v>1460</v>
      </c>
      <c r="M104" s="6" t="s">
        <v>523</v>
      </c>
      <c r="N104" s="6" t="s">
        <v>62</v>
      </c>
      <c r="O104" s="6" t="s">
        <v>64</v>
      </c>
    </row>
    <row r="105" ht="15.75" customHeight="1">
      <c r="A105" s="2" t="s">
        <v>1465</v>
      </c>
      <c r="B105" s="6" t="s">
        <v>44</v>
      </c>
      <c r="C105" s="6" t="s">
        <v>46</v>
      </c>
      <c r="D105" s="6" t="s">
        <v>1422</v>
      </c>
      <c r="E105" s="6" t="s">
        <v>1424</v>
      </c>
      <c r="F105" s="6" t="s">
        <v>37</v>
      </c>
      <c r="G105" s="6" t="s">
        <v>1469</v>
      </c>
      <c r="H105" s="6"/>
      <c r="I105" s="6" t="s">
        <v>1471</v>
      </c>
      <c r="J105" s="6"/>
      <c r="K105" s="6"/>
      <c r="L105" s="6"/>
      <c r="M105" s="6"/>
      <c r="N105" s="6" t="s">
        <v>62</v>
      </c>
      <c r="O105" s="6" t="s">
        <v>64</v>
      </c>
    </row>
    <row r="106" ht="15.75" customHeight="1">
      <c r="A106" s="2" t="s">
        <v>1476</v>
      </c>
      <c r="B106" s="6" t="s">
        <v>44</v>
      </c>
      <c r="C106" s="6" t="s">
        <v>46</v>
      </c>
      <c r="D106" s="6" t="s">
        <v>1422</v>
      </c>
      <c r="E106" s="6" t="s">
        <v>1424</v>
      </c>
      <c r="F106" s="6" t="s">
        <v>37</v>
      </c>
      <c r="G106" s="6" t="s">
        <v>1482</v>
      </c>
      <c r="H106" s="6"/>
      <c r="I106" s="6" t="s">
        <v>1486</v>
      </c>
      <c r="J106" s="6"/>
      <c r="K106" s="6"/>
      <c r="L106" s="6"/>
      <c r="M106" s="6"/>
      <c r="N106" s="6" t="s">
        <v>62</v>
      </c>
      <c r="O106" s="6" t="s">
        <v>64</v>
      </c>
    </row>
    <row r="107" ht="15.75" customHeight="1">
      <c r="A107" s="2" t="s">
        <v>1493</v>
      </c>
      <c r="B107" s="6" t="s">
        <v>44</v>
      </c>
      <c r="C107" s="6" t="s">
        <v>46</v>
      </c>
      <c r="D107" s="6" t="s">
        <v>1422</v>
      </c>
      <c r="E107" s="6" t="s">
        <v>1424</v>
      </c>
      <c r="F107" s="6" t="s">
        <v>37</v>
      </c>
      <c r="G107" s="6" t="s">
        <v>1501</v>
      </c>
      <c r="H107" s="6"/>
      <c r="I107" s="6" t="s">
        <v>1504</v>
      </c>
      <c r="J107" s="6"/>
      <c r="K107" s="6" t="s">
        <v>1507</v>
      </c>
      <c r="L107" s="6" t="s">
        <v>1509</v>
      </c>
      <c r="M107" s="6" t="s">
        <v>278</v>
      </c>
      <c r="N107" s="6" t="s">
        <v>62</v>
      </c>
      <c r="O107" s="6" t="s">
        <v>64</v>
      </c>
    </row>
    <row r="108" ht="15.75" customHeight="1">
      <c r="A108" s="2" t="s">
        <v>1516</v>
      </c>
      <c r="B108" s="6" t="s">
        <v>44</v>
      </c>
      <c r="C108" s="6" t="s">
        <v>46</v>
      </c>
      <c r="D108" s="6" t="s">
        <v>1422</v>
      </c>
      <c r="E108" s="6" t="s">
        <v>1424</v>
      </c>
      <c r="F108" s="6" t="s">
        <v>37</v>
      </c>
      <c r="G108" s="6" t="s">
        <v>1521</v>
      </c>
      <c r="H108" s="6"/>
      <c r="I108" s="6" t="s">
        <v>1524</v>
      </c>
      <c r="J108" s="6"/>
      <c r="K108" s="6" t="s">
        <v>1525</v>
      </c>
      <c r="L108" s="6" t="s">
        <v>1526</v>
      </c>
      <c r="M108" s="6" t="s">
        <v>717</v>
      </c>
      <c r="N108" s="6" t="s">
        <v>62</v>
      </c>
      <c r="O108" s="6" t="s">
        <v>64</v>
      </c>
    </row>
    <row r="109" ht="15.75" customHeight="1">
      <c r="A109" s="2" t="s">
        <v>1530</v>
      </c>
      <c r="B109" s="6" t="s">
        <v>44</v>
      </c>
      <c r="C109" s="6" t="s">
        <v>46</v>
      </c>
      <c r="D109" s="6" t="s">
        <v>1422</v>
      </c>
      <c r="E109" s="6" t="s">
        <v>1424</v>
      </c>
      <c r="F109" s="6" t="s">
        <v>37</v>
      </c>
      <c r="G109" s="6" t="s">
        <v>1534</v>
      </c>
      <c r="H109" s="6"/>
      <c r="I109" s="6" t="s">
        <v>1535</v>
      </c>
      <c r="J109" s="6"/>
      <c r="K109" s="6" t="s">
        <v>1540</v>
      </c>
      <c r="L109" s="6" t="s">
        <v>1543</v>
      </c>
      <c r="M109" s="6" t="s">
        <v>465</v>
      </c>
      <c r="N109" s="6" t="s">
        <v>62</v>
      </c>
      <c r="O109" s="6" t="s">
        <v>64</v>
      </c>
    </row>
    <row r="110" ht="15.75" customHeight="1">
      <c r="A110" s="2" t="s">
        <v>1549</v>
      </c>
      <c r="B110" s="6" t="s">
        <v>44</v>
      </c>
      <c r="C110" s="6" t="s">
        <v>46</v>
      </c>
      <c r="D110" s="6" t="s">
        <v>1422</v>
      </c>
      <c r="E110" s="6" t="s">
        <v>1424</v>
      </c>
      <c r="F110" s="6" t="s">
        <v>37</v>
      </c>
      <c r="G110" s="6" t="s">
        <v>1553</v>
      </c>
      <c r="H110" s="6"/>
      <c r="I110" s="6" t="s">
        <v>1555</v>
      </c>
      <c r="J110" s="6"/>
      <c r="K110" s="6" t="s">
        <v>1558</v>
      </c>
      <c r="L110" s="6" t="s">
        <v>1560</v>
      </c>
      <c r="M110" s="6" t="s">
        <v>278</v>
      </c>
      <c r="N110" s="6" t="s">
        <v>62</v>
      </c>
      <c r="O110" s="6" t="s">
        <v>64</v>
      </c>
    </row>
    <row r="111" ht="15.75" customHeight="1">
      <c r="A111" s="2" t="s">
        <v>1565</v>
      </c>
      <c r="B111" s="6" t="s">
        <v>44</v>
      </c>
      <c r="C111" s="6" t="s">
        <v>46</v>
      </c>
      <c r="D111" s="6" t="s">
        <v>1422</v>
      </c>
      <c r="E111" s="6" t="s">
        <v>1424</v>
      </c>
      <c r="F111" s="6" t="s">
        <v>37</v>
      </c>
      <c r="G111" s="6" t="s">
        <v>1568</v>
      </c>
      <c r="H111" s="6"/>
      <c r="I111" s="6" t="s">
        <v>1571</v>
      </c>
      <c r="J111" s="6"/>
      <c r="K111" s="6" t="s">
        <v>1572</v>
      </c>
      <c r="L111" s="6" t="s">
        <v>1573</v>
      </c>
      <c r="M111" s="6" t="s">
        <v>1575</v>
      </c>
      <c r="N111" s="6" t="s">
        <v>62</v>
      </c>
      <c r="O111" s="6" t="s">
        <v>64</v>
      </c>
    </row>
    <row r="112" ht="15.75" customHeight="1">
      <c r="A112" s="2" t="s">
        <v>1579</v>
      </c>
      <c r="B112" s="6" t="s">
        <v>44</v>
      </c>
      <c r="C112" s="6" t="s">
        <v>46</v>
      </c>
      <c r="D112" s="6" t="s">
        <v>1422</v>
      </c>
      <c r="E112" s="6" t="s">
        <v>1424</v>
      </c>
      <c r="F112" s="6" t="s">
        <v>37</v>
      </c>
      <c r="G112" s="6" t="s">
        <v>1583</v>
      </c>
      <c r="H112" s="6"/>
      <c r="I112" s="6" t="s">
        <v>1584</v>
      </c>
      <c r="J112" s="6"/>
      <c r="K112" s="6" t="s">
        <v>1586</v>
      </c>
      <c r="L112" s="6" t="s">
        <v>1587</v>
      </c>
      <c r="M112" s="6" t="s">
        <v>550</v>
      </c>
      <c r="N112" s="6" t="s">
        <v>62</v>
      </c>
      <c r="O112" s="6" t="s">
        <v>64</v>
      </c>
    </row>
    <row r="113" ht="15.75" customHeight="1">
      <c r="A113" s="2" t="s">
        <v>1590</v>
      </c>
      <c r="B113" s="6" t="s">
        <v>44</v>
      </c>
      <c r="C113" s="6" t="s">
        <v>46</v>
      </c>
      <c r="D113" s="6" t="s">
        <v>1422</v>
      </c>
      <c r="E113" s="6" t="s">
        <v>1424</v>
      </c>
      <c r="F113" s="6" t="s">
        <v>37</v>
      </c>
      <c r="G113" s="6" t="s">
        <v>1594</v>
      </c>
      <c r="H113" s="6"/>
      <c r="I113" s="6" t="s">
        <v>1595</v>
      </c>
      <c r="J113" s="6"/>
      <c r="K113" s="6" t="s">
        <v>1599</v>
      </c>
      <c r="L113" s="6" t="s">
        <v>1601</v>
      </c>
      <c r="M113" s="6" t="s">
        <v>61</v>
      </c>
      <c r="N113" s="6" t="s">
        <v>62</v>
      </c>
      <c r="O113" s="6" t="s">
        <v>64</v>
      </c>
    </row>
    <row r="114" ht="15.75" customHeight="1">
      <c r="A114" s="2" t="s">
        <v>1604</v>
      </c>
      <c r="B114" s="6" t="s">
        <v>44</v>
      </c>
      <c r="C114" s="6" t="s">
        <v>46</v>
      </c>
      <c r="D114" s="6" t="s">
        <v>1422</v>
      </c>
      <c r="E114" s="6" t="s">
        <v>1424</v>
      </c>
      <c r="F114" s="6" t="s">
        <v>37</v>
      </c>
      <c r="G114" s="6" t="s">
        <v>1608</v>
      </c>
      <c r="H114" s="6"/>
      <c r="I114" s="6" t="s">
        <v>1610</v>
      </c>
      <c r="J114" s="6"/>
      <c r="K114" s="6"/>
      <c r="L114" s="6"/>
      <c r="M114" s="6"/>
      <c r="N114" s="6" t="s">
        <v>62</v>
      </c>
      <c r="O114" s="6" t="s">
        <v>64</v>
      </c>
    </row>
    <row r="115" ht="15.75" customHeight="1">
      <c r="A115" s="2" t="s">
        <v>1614</v>
      </c>
      <c r="B115" s="6" t="s">
        <v>44</v>
      </c>
      <c r="C115" s="6" t="s">
        <v>46</v>
      </c>
      <c r="D115" s="6" t="s">
        <v>1616</v>
      </c>
      <c r="E115" s="6" t="s">
        <v>1618</v>
      </c>
      <c r="F115" s="6" t="s">
        <v>37</v>
      </c>
      <c r="G115" s="6" t="s">
        <v>1620</v>
      </c>
      <c r="H115" s="6"/>
      <c r="I115" s="6" t="s">
        <v>1622</v>
      </c>
      <c r="J115" s="6"/>
      <c r="K115" s="6"/>
      <c r="L115" s="6"/>
      <c r="M115" s="6"/>
      <c r="N115" s="6" t="s">
        <v>62</v>
      </c>
      <c r="O115" s="6" t="s">
        <v>64</v>
      </c>
    </row>
    <row r="116" ht="15.75" customHeight="1">
      <c r="A116" s="2" t="s">
        <v>1626</v>
      </c>
      <c r="B116" s="6" t="s">
        <v>44</v>
      </c>
      <c r="C116" s="6" t="s">
        <v>46</v>
      </c>
      <c r="D116" s="6" t="s">
        <v>1629</v>
      </c>
      <c r="E116" s="6" t="s">
        <v>1630</v>
      </c>
      <c r="F116" s="6" t="s">
        <v>37</v>
      </c>
      <c r="G116" s="6" t="s">
        <v>1633</v>
      </c>
      <c r="H116" s="6"/>
      <c r="I116" s="6" t="s">
        <v>1634</v>
      </c>
      <c r="J116" s="6"/>
      <c r="K116" s="6" t="s">
        <v>1637</v>
      </c>
      <c r="L116" s="6" t="s">
        <v>1626</v>
      </c>
      <c r="M116" s="6" t="s">
        <v>523</v>
      </c>
      <c r="N116" s="6" t="s">
        <v>62</v>
      </c>
      <c r="O116" s="6" t="s">
        <v>64</v>
      </c>
    </row>
    <row r="117" ht="15.75" customHeight="1">
      <c r="A117" s="2" t="s">
        <v>1639</v>
      </c>
      <c r="B117" s="6" t="s">
        <v>44</v>
      </c>
      <c r="C117" s="6" t="s">
        <v>46</v>
      </c>
      <c r="D117" s="6" t="s">
        <v>1643</v>
      </c>
      <c r="E117" s="6" t="s">
        <v>1645</v>
      </c>
      <c r="F117" s="6" t="s">
        <v>37</v>
      </c>
      <c r="G117" s="6" t="s">
        <v>1648</v>
      </c>
      <c r="H117" s="6"/>
      <c r="I117" s="6" t="s">
        <v>1649</v>
      </c>
      <c r="J117" s="6"/>
      <c r="K117" s="6"/>
      <c r="L117" s="6"/>
      <c r="M117" s="6"/>
      <c r="N117" s="6" t="s">
        <v>62</v>
      </c>
      <c r="O117" s="6" t="s">
        <v>64</v>
      </c>
    </row>
    <row r="118" ht="15.75" customHeight="1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</row>
    <row r="119" ht="15.75" customHeight="1">
      <c r="A119" s="2" t="s">
        <v>1660</v>
      </c>
      <c r="B119" s="6" t="s">
        <v>74</v>
      </c>
      <c r="C119" s="6" t="s">
        <v>46</v>
      </c>
      <c r="D119" s="6" t="s">
        <v>1664</v>
      </c>
      <c r="E119" s="6" t="s">
        <v>1666</v>
      </c>
      <c r="F119" s="6" t="s">
        <v>42</v>
      </c>
      <c r="G119" s="6" t="s">
        <v>1668</v>
      </c>
      <c r="H119" s="6"/>
      <c r="I119" s="6"/>
      <c r="J119" s="6"/>
      <c r="K119" s="6"/>
      <c r="L119" s="6" t="s">
        <v>1672</v>
      </c>
      <c r="M119" s="6" t="s">
        <v>278</v>
      </c>
      <c r="N119" s="6"/>
      <c r="O119" s="6" t="s">
        <v>92</v>
      </c>
    </row>
    <row r="120" ht="15.75" customHeight="1">
      <c r="A120" s="2" t="s">
        <v>1681</v>
      </c>
      <c r="B120" s="6" t="s">
        <v>74</v>
      </c>
      <c r="C120" s="6" t="s">
        <v>46</v>
      </c>
      <c r="D120" s="6" t="s">
        <v>1684</v>
      </c>
      <c r="E120" s="6" t="s">
        <v>1687</v>
      </c>
      <c r="F120" s="6" t="s">
        <v>42</v>
      </c>
      <c r="G120" s="6" t="s">
        <v>1689</v>
      </c>
      <c r="H120" s="6"/>
      <c r="I120" s="6" t="s">
        <v>1690</v>
      </c>
      <c r="J120" s="6"/>
      <c r="K120" s="6"/>
      <c r="L120" s="6"/>
      <c r="M120" s="6"/>
      <c r="N120" s="6"/>
      <c r="O120" s="6" t="s">
        <v>92</v>
      </c>
    </row>
    <row r="121" ht="15.75" customHeight="1">
      <c r="A121" s="34"/>
    </row>
    <row r="122" ht="15.75" customHeight="1">
      <c r="A122" s="34"/>
    </row>
    <row r="123" ht="15.75" customHeight="1">
      <c r="A123" s="34"/>
    </row>
    <row r="124" ht="15.75" customHeight="1">
      <c r="A124" s="34"/>
    </row>
    <row r="125" ht="15.75" customHeight="1">
      <c r="A125" s="34"/>
    </row>
    <row r="126" ht="15.75" customHeight="1">
      <c r="A126" s="34"/>
    </row>
    <row r="127" ht="15.75" customHeight="1">
      <c r="A127" s="34"/>
    </row>
    <row r="128" ht="15.75" customHeight="1">
      <c r="A128" s="34"/>
    </row>
    <row r="129" ht="15.75" customHeight="1">
      <c r="A129" s="34"/>
    </row>
    <row r="130" ht="15.75" customHeight="1">
      <c r="A130" s="34"/>
    </row>
    <row r="131" ht="15.75" customHeight="1">
      <c r="A131" s="34"/>
    </row>
    <row r="132" ht="15.75" customHeight="1">
      <c r="A132" s="34"/>
    </row>
    <row r="133" ht="15.75" customHeight="1">
      <c r="A133" s="34"/>
    </row>
    <row r="134" ht="15.75" customHeight="1">
      <c r="A134" s="34"/>
    </row>
    <row r="135" ht="15.75" customHeight="1">
      <c r="A135" s="34"/>
    </row>
    <row r="136" ht="15.75" customHeight="1">
      <c r="A136" s="34"/>
    </row>
    <row r="137" ht="15.75" customHeight="1">
      <c r="A137" s="34"/>
    </row>
    <row r="138" ht="15.75" customHeight="1">
      <c r="A138" s="34"/>
    </row>
    <row r="139" ht="15.75" customHeight="1">
      <c r="A139" s="34"/>
    </row>
    <row r="140" ht="15.75" customHeight="1">
      <c r="A140" s="34"/>
    </row>
    <row r="141" ht="15.75" customHeight="1">
      <c r="A141" s="34"/>
    </row>
    <row r="142" ht="15.75" customHeight="1">
      <c r="A142" s="34"/>
    </row>
    <row r="143" ht="15.75" customHeight="1">
      <c r="A143" s="34"/>
    </row>
    <row r="144" ht="15.75" customHeight="1">
      <c r="A144" s="34"/>
    </row>
    <row r="145" ht="15.75" customHeight="1">
      <c r="A145" s="34"/>
    </row>
    <row r="146" ht="15.75" customHeight="1">
      <c r="A146" s="34"/>
    </row>
    <row r="147" ht="15.75" customHeight="1">
      <c r="A147" s="34"/>
    </row>
    <row r="148" ht="15.75" customHeight="1">
      <c r="A148" s="34"/>
    </row>
    <row r="149" ht="15.75" customHeight="1">
      <c r="A149" s="34"/>
    </row>
    <row r="150" ht="15.75" customHeight="1">
      <c r="A150" s="34"/>
    </row>
    <row r="151" ht="15.75" customHeight="1">
      <c r="A151" s="34"/>
    </row>
    <row r="152" ht="15.75" customHeight="1">
      <c r="A152" s="34"/>
    </row>
    <row r="153" ht="15.75" customHeight="1">
      <c r="A153" s="34"/>
    </row>
    <row r="154" ht="15.75" customHeight="1">
      <c r="A154" s="34"/>
    </row>
    <row r="155" ht="15.75" customHeight="1">
      <c r="A155" s="34"/>
    </row>
    <row r="156" ht="15.75" customHeight="1">
      <c r="A156" s="34"/>
    </row>
    <row r="157" ht="15.75" customHeight="1">
      <c r="A157" s="34"/>
    </row>
    <row r="158" ht="15.75" customHeight="1">
      <c r="A158" s="34"/>
    </row>
    <row r="159" ht="15.75" customHeight="1">
      <c r="A159" s="34"/>
    </row>
    <row r="160" ht="15.75" customHeight="1">
      <c r="A160" s="34"/>
    </row>
    <row r="161" ht="15.75" customHeight="1">
      <c r="A161" s="34"/>
    </row>
    <row r="162" ht="15.75" customHeight="1">
      <c r="A162" s="34"/>
    </row>
    <row r="163" ht="15.75" customHeight="1">
      <c r="A163" s="34"/>
    </row>
    <row r="164" ht="15.75" customHeight="1">
      <c r="A164" s="34"/>
    </row>
    <row r="165" ht="15.75" customHeight="1">
      <c r="A165" s="34"/>
    </row>
    <row r="166" ht="15.75" customHeight="1">
      <c r="A166" s="34"/>
    </row>
    <row r="167" ht="15.75" customHeight="1">
      <c r="A167" s="34"/>
    </row>
    <row r="168" ht="15.75" customHeight="1">
      <c r="A168" s="34"/>
    </row>
    <row r="169" ht="15.75" customHeight="1">
      <c r="A169" s="34"/>
    </row>
    <row r="170" ht="15.75" customHeight="1">
      <c r="A170" s="34"/>
    </row>
    <row r="171" ht="15.75" customHeight="1">
      <c r="A171" s="34"/>
    </row>
    <row r="172" ht="15.75" customHeight="1">
      <c r="A172" s="34"/>
    </row>
    <row r="173" ht="15.75" customHeight="1">
      <c r="A173" s="34"/>
    </row>
    <row r="174" ht="15.75" customHeight="1">
      <c r="A174" s="34"/>
    </row>
    <row r="175" ht="15.75" customHeight="1">
      <c r="A175" s="34"/>
    </row>
    <row r="176" ht="15.75" customHeight="1">
      <c r="A176" s="34"/>
    </row>
    <row r="177" ht="15.75" customHeight="1">
      <c r="A177" s="34"/>
    </row>
    <row r="178" ht="15.75" customHeight="1">
      <c r="A178" s="34"/>
    </row>
    <row r="179" ht="15.75" customHeight="1">
      <c r="A179" s="34"/>
    </row>
    <row r="180" ht="15.75" customHeight="1">
      <c r="A180" s="34"/>
    </row>
    <row r="181" ht="15.75" customHeight="1">
      <c r="A181" s="34"/>
    </row>
    <row r="182" ht="15.75" customHeight="1">
      <c r="A182" s="34"/>
    </row>
    <row r="183" ht="15.75" customHeight="1">
      <c r="A183" s="34"/>
    </row>
    <row r="184" ht="15.75" customHeight="1">
      <c r="A184" s="34"/>
    </row>
    <row r="185" ht="15.75" customHeight="1">
      <c r="A185" s="34"/>
    </row>
    <row r="186" ht="15.75" customHeight="1">
      <c r="A186" s="34"/>
    </row>
    <row r="187" ht="15.75" customHeight="1">
      <c r="A187" s="34"/>
    </row>
    <row r="188" ht="15.75" customHeight="1">
      <c r="A188" s="34"/>
    </row>
    <row r="189" ht="15.75" customHeight="1">
      <c r="A189" s="34"/>
    </row>
    <row r="190" ht="15.75" customHeight="1">
      <c r="A190" s="34"/>
    </row>
    <row r="191" ht="15.75" customHeight="1">
      <c r="A191" s="34"/>
    </row>
    <row r="192" ht="15.75" customHeight="1">
      <c r="A192" s="34"/>
    </row>
    <row r="193" ht="15.75" customHeight="1">
      <c r="A193" s="34"/>
    </row>
    <row r="194" ht="15.75" customHeight="1">
      <c r="A194" s="34"/>
    </row>
    <row r="195" ht="15.75" customHeight="1">
      <c r="A195" s="34"/>
    </row>
    <row r="196" ht="15.75" customHeight="1">
      <c r="A196" s="34"/>
    </row>
    <row r="197" ht="15.75" customHeight="1">
      <c r="A197" s="34"/>
    </row>
    <row r="198" ht="15.75" customHeight="1">
      <c r="A198" s="34"/>
    </row>
    <row r="199" ht="15.75" customHeight="1">
      <c r="A199" s="34"/>
    </row>
    <row r="200" ht="15.75" customHeight="1">
      <c r="A200" s="34"/>
    </row>
    <row r="201" ht="15.75" customHeight="1">
      <c r="A201" s="34"/>
    </row>
    <row r="202" ht="15.75" customHeight="1">
      <c r="A202" s="34"/>
    </row>
    <row r="203" ht="15.75" customHeight="1">
      <c r="A203" s="34"/>
    </row>
    <row r="204" ht="15.75" customHeight="1">
      <c r="A204" s="34"/>
    </row>
    <row r="205" ht="15.75" customHeight="1">
      <c r="A205" s="34"/>
    </row>
    <row r="206" ht="15.75" customHeight="1">
      <c r="A206" s="34"/>
    </row>
    <row r="207" ht="15.75" customHeight="1">
      <c r="A207" s="34"/>
    </row>
    <row r="208" ht="15.75" customHeight="1">
      <c r="A208" s="34"/>
    </row>
    <row r="209" ht="15.75" customHeight="1">
      <c r="A209" s="34"/>
    </row>
    <row r="210" ht="15.75" customHeight="1">
      <c r="A210" s="34"/>
    </row>
    <row r="211" ht="15.75" customHeight="1">
      <c r="A211" s="34"/>
    </row>
    <row r="212" ht="15.75" customHeight="1">
      <c r="A212" s="34"/>
    </row>
    <row r="213" ht="15.75" customHeight="1">
      <c r="A213" s="34"/>
    </row>
    <row r="214" ht="15.75" customHeight="1">
      <c r="A214" s="34"/>
    </row>
    <row r="215" ht="15.75" customHeight="1">
      <c r="A215" s="34"/>
    </row>
    <row r="216" ht="15.75" customHeight="1">
      <c r="A216" s="34"/>
    </row>
    <row r="217" ht="15.75" customHeight="1">
      <c r="A217" s="34"/>
    </row>
    <row r="218" ht="15.75" customHeight="1">
      <c r="A218" s="34"/>
    </row>
    <row r="219" ht="15.75" customHeight="1">
      <c r="A219" s="34"/>
    </row>
    <row r="220" ht="15.75" customHeight="1">
      <c r="A220" s="34"/>
    </row>
    <row r="221" ht="15.75" customHeight="1">
      <c r="A221" s="34"/>
    </row>
    <row r="222" ht="15.75" customHeight="1">
      <c r="A222" s="34"/>
    </row>
    <row r="223" ht="15.75" customHeight="1">
      <c r="A223" s="34"/>
    </row>
    <row r="224" ht="15.75" customHeight="1">
      <c r="A224" s="34"/>
    </row>
    <row r="225" ht="15.75" customHeight="1">
      <c r="A225" s="34"/>
    </row>
    <row r="226" ht="15.75" customHeight="1">
      <c r="A226" s="34"/>
    </row>
    <row r="227" ht="15.75" customHeight="1">
      <c r="A227" s="34"/>
    </row>
    <row r="228" ht="15.75" customHeight="1">
      <c r="A228" s="34"/>
    </row>
    <row r="229" ht="15.75" customHeight="1">
      <c r="A229" s="34"/>
    </row>
    <row r="230" ht="15.75" customHeight="1">
      <c r="A230" s="34"/>
    </row>
    <row r="231" ht="15.75" customHeight="1">
      <c r="A231" s="34"/>
    </row>
    <row r="232" ht="15.75" customHeight="1">
      <c r="A232" s="34"/>
    </row>
    <row r="233" ht="15.75" customHeight="1">
      <c r="A233" s="34"/>
    </row>
    <row r="234" ht="15.75" customHeight="1">
      <c r="A234" s="34"/>
    </row>
    <row r="235" ht="15.75" customHeight="1">
      <c r="A235" s="34"/>
    </row>
    <row r="236" ht="15.75" customHeight="1">
      <c r="A236" s="34"/>
    </row>
    <row r="237" ht="15.75" customHeight="1">
      <c r="A237" s="34"/>
    </row>
    <row r="238" ht="15.75" customHeight="1">
      <c r="A238" s="34"/>
    </row>
    <row r="239" ht="15.75" customHeight="1">
      <c r="A239" s="34"/>
    </row>
    <row r="240" ht="15.75" customHeight="1">
      <c r="A240" s="34"/>
    </row>
    <row r="241" ht="15.75" customHeight="1">
      <c r="A241" s="34"/>
    </row>
    <row r="242" ht="15.75" customHeight="1">
      <c r="A242" s="34"/>
    </row>
    <row r="243" ht="15.75" customHeight="1">
      <c r="A243" s="34"/>
    </row>
    <row r="244" ht="15.75" customHeight="1">
      <c r="A244" s="34"/>
    </row>
    <row r="245" ht="15.75" customHeight="1">
      <c r="A245" s="34"/>
    </row>
    <row r="246" ht="15.75" customHeight="1">
      <c r="A246" s="34"/>
    </row>
    <row r="247" ht="15.75" customHeight="1">
      <c r="A247" s="34"/>
    </row>
    <row r="248" ht="15.75" customHeight="1">
      <c r="A248" s="34"/>
    </row>
    <row r="249" ht="15.75" customHeight="1">
      <c r="A249" s="34"/>
    </row>
    <row r="250" ht="15.75" customHeight="1">
      <c r="A250" s="34"/>
    </row>
    <row r="251" ht="15.75" customHeight="1">
      <c r="A251" s="34"/>
    </row>
    <row r="252" ht="15.75" customHeight="1">
      <c r="A252" s="34"/>
    </row>
    <row r="253" ht="15.75" customHeight="1">
      <c r="A253" s="34"/>
    </row>
    <row r="254" ht="15.75" customHeight="1">
      <c r="A254" s="34"/>
    </row>
    <row r="255" ht="15.75" customHeight="1">
      <c r="A255" s="34"/>
    </row>
    <row r="256" ht="15.75" customHeight="1">
      <c r="A256" s="34"/>
    </row>
    <row r="257" ht="15.75" customHeight="1">
      <c r="A257" s="34"/>
    </row>
    <row r="258" ht="15.75" customHeight="1">
      <c r="A258" s="34"/>
    </row>
    <row r="259" ht="15.75" customHeight="1">
      <c r="A259" s="34"/>
    </row>
    <row r="260" ht="15.75" customHeight="1">
      <c r="A260" s="34"/>
    </row>
    <row r="261" ht="15.75" customHeight="1">
      <c r="A261" s="34"/>
    </row>
    <row r="262" ht="15.75" customHeight="1">
      <c r="A262" s="34"/>
    </row>
    <row r="263" ht="15.75" customHeight="1">
      <c r="A263" s="34"/>
    </row>
    <row r="264" ht="15.75" customHeight="1">
      <c r="A264" s="34"/>
    </row>
    <row r="265" ht="15.75" customHeight="1">
      <c r="A265" s="34"/>
    </row>
    <row r="266" ht="15.75" customHeight="1">
      <c r="A266" s="34"/>
    </row>
    <row r="267" ht="15.75" customHeight="1">
      <c r="A267" s="34"/>
    </row>
    <row r="268" ht="15.75" customHeight="1">
      <c r="A268" s="34"/>
    </row>
    <row r="269" ht="15.75" customHeight="1">
      <c r="A269" s="34"/>
    </row>
    <row r="270" ht="15.75" customHeight="1">
      <c r="A270" s="34"/>
    </row>
    <row r="271" ht="15.75" customHeight="1">
      <c r="A271" s="34"/>
    </row>
    <row r="272" ht="15.75" customHeight="1">
      <c r="A272" s="34"/>
    </row>
    <row r="273" ht="15.75" customHeight="1">
      <c r="A273" s="34"/>
    </row>
    <row r="274" ht="15.75" customHeight="1">
      <c r="A274" s="34"/>
    </row>
    <row r="275" ht="15.75" customHeight="1">
      <c r="A275" s="34"/>
    </row>
    <row r="276" ht="15.75" customHeight="1">
      <c r="A276" s="34"/>
    </row>
    <row r="277" ht="15.75" customHeight="1">
      <c r="A277" s="34"/>
    </row>
    <row r="278" ht="15.75" customHeight="1">
      <c r="A278" s="34"/>
    </row>
    <row r="279" ht="15.75" customHeight="1">
      <c r="A279" s="34"/>
    </row>
    <row r="280" ht="15.75" customHeight="1">
      <c r="A280" s="34"/>
    </row>
    <row r="281" ht="15.75" customHeight="1">
      <c r="A281" s="34"/>
    </row>
    <row r="282" ht="15.75" customHeight="1">
      <c r="A282" s="34"/>
    </row>
    <row r="283" ht="15.75" customHeight="1">
      <c r="A283" s="34"/>
    </row>
    <row r="284" ht="15.75" customHeight="1">
      <c r="A284" s="34"/>
    </row>
    <row r="285" ht="15.75" customHeight="1">
      <c r="A285" s="34"/>
    </row>
    <row r="286" ht="15.75" customHeight="1">
      <c r="A286" s="34"/>
    </row>
    <row r="287" ht="15.75" customHeight="1">
      <c r="A287" s="34"/>
    </row>
    <row r="288" ht="15.75" customHeight="1">
      <c r="A288" s="34"/>
    </row>
    <row r="289" ht="15.75" customHeight="1">
      <c r="A289" s="34"/>
    </row>
    <row r="290" ht="15.75" customHeight="1">
      <c r="A290" s="34"/>
    </row>
    <row r="291" ht="15.75" customHeight="1">
      <c r="A291" s="34"/>
    </row>
    <row r="292" ht="15.75" customHeight="1">
      <c r="A292" s="34"/>
    </row>
    <row r="293" ht="15.75" customHeight="1">
      <c r="A293" s="34"/>
    </row>
    <row r="294" ht="15.75" customHeight="1">
      <c r="A294" s="34"/>
    </row>
    <row r="295" ht="15.75" customHeight="1">
      <c r="A295" s="34"/>
    </row>
    <row r="296" ht="15.75" customHeight="1">
      <c r="A296" s="34"/>
    </row>
    <row r="297" ht="15.75" customHeight="1">
      <c r="A297" s="34"/>
    </row>
    <row r="298" ht="15.75" customHeight="1">
      <c r="A298" s="34"/>
    </row>
    <row r="299" ht="15.75" customHeight="1">
      <c r="A299" s="34"/>
    </row>
    <row r="300" ht="15.75" customHeight="1">
      <c r="A300" s="34"/>
    </row>
    <row r="301" ht="15.75" customHeight="1">
      <c r="A301" s="34"/>
    </row>
    <row r="302" ht="15.75" customHeight="1">
      <c r="A302" s="34"/>
    </row>
    <row r="303" ht="15.75" customHeight="1">
      <c r="A303" s="34"/>
    </row>
    <row r="304" ht="15.75" customHeight="1">
      <c r="A304" s="34"/>
    </row>
    <row r="305" ht="15.75" customHeight="1">
      <c r="A305" s="34"/>
    </row>
    <row r="306" ht="15.75" customHeight="1">
      <c r="A306" s="34"/>
    </row>
    <row r="307" ht="15.75" customHeight="1">
      <c r="A307" s="34"/>
    </row>
    <row r="308" ht="15.75" customHeight="1">
      <c r="A308" s="34"/>
    </row>
    <row r="309" ht="15.75" customHeight="1">
      <c r="A309" s="34"/>
    </row>
    <row r="310" ht="15.75" customHeight="1">
      <c r="A310" s="34"/>
    </row>
    <row r="311" ht="15.75" customHeight="1">
      <c r="A311" s="34"/>
    </row>
    <row r="312" ht="15.75" customHeight="1">
      <c r="A312" s="34"/>
    </row>
    <row r="313" ht="15.75" customHeight="1">
      <c r="A313" s="34"/>
    </row>
    <row r="314" ht="15.75" customHeight="1">
      <c r="A314" s="34"/>
    </row>
    <row r="315" ht="15.75" customHeight="1">
      <c r="A315" s="34"/>
    </row>
    <row r="316" ht="15.75" customHeight="1">
      <c r="A316" s="34"/>
    </row>
    <row r="317" ht="15.75" customHeight="1">
      <c r="A317" s="34"/>
    </row>
    <row r="318" ht="15.75" customHeight="1">
      <c r="A318" s="34"/>
    </row>
    <row r="319" ht="15.75" customHeight="1">
      <c r="A319" s="34"/>
    </row>
    <row r="320" ht="15.75" customHeight="1">
      <c r="A320" s="34"/>
    </row>
    <row r="321" ht="15.75" customHeight="1">
      <c r="A321" s="34"/>
    </row>
    <row r="322" ht="15.75" customHeight="1">
      <c r="A322" s="34"/>
    </row>
    <row r="323" ht="15.75" customHeight="1">
      <c r="A323" s="34"/>
    </row>
    <row r="324" ht="15.75" customHeight="1">
      <c r="A324" s="34"/>
    </row>
    <row r="325" ht="15.75" customHeight="1">
      <c r="A325" s="34"/>
    </row>
    <row r="326" ht="15.75" customHeight="1">
      <c r="A326" s="34"/>
    </row>
    <row r="327" ht="15.75" customHeight="1">
      <c r="A327" s="34"/>
    </row>
    <row r="328" ht="15.75" customHeight="1">
      <c r="A328" s="34"/>
    </row>
    <row r="329" ht="15.75" customHeight="1">
      <c r="A329" s="34"/>
    </row>
    <row r="330" ht="15.75" customHeight="1">
      <c r="A330" s="34"/>
    </row>
    <row r="331" ht="15.75" customHeight="1">
      <c r="A331" s="34"/>
    </row>
    <row r="332" ht="15.75" customHeight="1">
      <c r="A332" s="34"/>
    </row>
    <row r="333" ht="15.75" customHeight="1">
      <c r="A333" s="34"/>
    </row>
    <row r="334" ht="15.75" customHeight="1">
      <c r="A334" s="34"/>
    </row>
    <row r="335" ht="15.75" customHeight="1">
      <c r="A335" s="34"/>
    </row>
    <row r="336" ht="15.75" customHeight="1">
      <c r="A336" s="34"/>
    </row>
    <row r="337" ht="15.75" customHeight="1">
      <c r="A337" s="34"/>
    </row>
    <row r="338" ht="15.75" customHeight="1">
      <c r="A338" s="34"/>
    </row>
    <row r="339" ht="15.75" customHeight="1">
      <c r="A339" s="34"/>
    </row>
    <row r="340" ht="15.75" customHeight="1">
      <c r="A340" s="34"/>
    </row>
    <row r="341" ht="15.75" customHeight="1">
      <c r="A341" s="34"/>
    </row>
    <row r="342" ht="15.75" customHeight="1">
      <c r="A342" s="34"/>
    </row>
    <row r="343" ht="15.75" customHeight="1">
      <c r="A343" s="34"/>
    </row>
    <row r="344" ht="15.75" customHeight="1">
      <c r="A344" s="34"/>
    </row>
    <row r="345" ht="15.75" customHeight="1">
      <c r="A345" s="34"/>
    </row>
    <row r="346" ht="15.75" customHeight="1">
      <c r="A346" s="34"/>
    </row>
    <row r="347" ht="15.75" customHeight="1">
      <c r="A347" s="34"/>
    </row>
    <row r="348" ht="15.75" customHeight="1">
      <c r="A348" s="34"/>
    </row>
    <row r="349" ht="15.75" customHeight="1">
      <c r="A349" s="34"/>
    </row>
    <row r="350" ht="15.75" customHeight="1">
      <c r="A350" s="34"/>
    </row>
    <row r="351" ht="15.75" customHeight="1">
      <c r="A351" s="34"/>
    </row>
    <row r="352" ht="15.75" customHeight="1">
      <c r="A352" s="34"/>
    </row>
    <row r="353" ht="15.75" customHeight="1">
      <c r="A353" s="34"/>
    </row>
    <row r="354" ht="15.75" customHeight="1">
      <c r="A354" s="34"/>
    </row>
    <row r="355" ht="15.75" customHeight="1">
      <c r="A355" s="34"/>
    </row>
    <row r="356" ht="15.75" customHeight="1">
      <c r="A356" s="34"/>
    </row>
    <row r="357" ht="15.75" customHeight="1">
      <c r="A357" s="34"/>
    </row>
    <row r="358" ht="15.75" customHeight="1">
      <c r="A358" s="34"/>
    </row>
    <row r="359" ht="15.75" customHeight="1">
      <c r="A359" s="34"/>
    </row>
    <row r="360" ht="15.75" customHeight="1">
      <c r="A360" s="34"/>
    </row>
    <row r="361" ht="15.75" customHeight="1">
      <c r="A361" s="34"/>
    </row>
    <row r="362" ht="15.75" customHeight="1">
      <c r="A362" s="34"/>
    </row>
    <row r="363" ht="15.75" customHeight="1">
      <c r="A363" s="34"/>
    </row>
    <row r="364" ht="15.75" customHeight="1">
      <c r="A364" s="34"/>
    </row>
    <row r="365" ht="15.75" customHeight="1">
      <c r="A365" s="34"/>
    </row>
    <row r="366" ht="15.75" customHeight="1">
      <c r="A366" s="34"/>
    </row>
    <row r="367" ht="15.75" customHeight="1">
      <c r="A367" s="34"/>
    </row>
    <row r="368" ht="15.75" customHeight="1">
      <c r="A368" s="34"/>
    </row>
    <row r="369" ht="15.75" customHeight="1">
      <c r="A369" s="34"/>
    </row>
    <row r="370" ht="15.75" customHeight="1">
      <c r="A370" s="34"/>
    </row>
    <row r="371" ht="15.75" customHeight="1">
      <c r="A371" s="34"/>
    </row>
    <row r="372" ht="15.75" customHeight="1">
      <c r="A372" s="34"/>
    </row>
    <row r="373" ht="15.75" customHeight="1">
      <c r="A373" s="34"/>
    </row>
    <row r="374" ht="15.75" customHeight="1">
      <c r="A374" s="34"/>
    </row>
    <row r="375" ht="15.75" customHeight="1">
      <c r="A375" s="34"/>
    </row>
    <row r="376" ht="15.75" customHeight="1">
      <c r="A376" s="34"/>
    </row>
    <row r="377" ht="15.75" customHeight="1">
      <c r="A377" s="34"/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>
      <c r="A513" s="34"/>
    </row>
    <row r="514" ht="15.75" customHeight="1">
      <c r="A514" s="34"/>
    </row>
    <row r="515" ht="15.75" customHeight="1">
      <c r="A515" s="34"/>
    </row>
    <row r="516" ht="15.75" customHeight="1">
      <c r="A516" s="34"/>
    </row>
    <row r="517" ht="15.75" customHeight="1">
      <c r="A517" s="34"/>
    </row>
    <row r="518" ht="15.75" customHeight="1">
      <c r="A518" s="34"/>
    </row>
    <row r="519" ht="15.75" customHeight="1">
      <c r="A519" s="34"/>
    </row>
    <row r="520" ht="15.75" customHeight="1">
      <c r="A520" s="34"/>
    </row>
    <row r="521" ht="15.75" customHeight="1">
      <c r="A521" s="34"/>
    </row>
    <row r="522" ht="15.75" customHeight="1">
      <c r="A522" s="34"/>
    </row>
    <row r="523" ht="15.75" customHeight="1">
      <c r="A523" s="34"/>
    </row>
    <row r="524" ht="15.75" customHeight="1">
      <c r="A524" s="34"/>
    </row>
    <row r="525" ht="15.75" customHeight="1">
      <c r="A525" s="34"/>
    </row>
    <row r="526" ht="15.75" customHeight="1">
      <c r="A526" s="34"/>
    </row>
    <row r="527" ht="15.75" customHeight="1">
      <c r="A527" s="34"/>
    </row>
    <row r="528" ht="15.75" customHeight="1">
      <c r="A528" s="34"/>
    </row>
    <row r="529" ht="15.75" customHeight="1">
      <c r="A529" s="34"/>
    </row>
    <row r="530" ht="15.75" customHeight="1">
      <c r="A530" s="34"/>
    </row>
    <row r="531" ht="15.75" customHeight="1">
      <c r="A531" s="34"/>
    </row>
    <row r="532" ht="15.75" customHeight="1">
      <c r="A532" s="34"/>
    </row>
    <row r="533" ht="15.75" customHeight="1">
      <c r="A533" s="34"/>
    </row>
    <row r="534" ht="15.75" customHeight="1">
      <c r="A534" s="34"/>
    </row>
    <row r="535" ht="15.75" customHeight="1">
      <c r="A535" s="34"/>
    </row>
    <row r="536" ht="15.75" customHeight="1">
      <c r="A536" s="34"/>
    </row>
    <row r="537" ht="15.75" customHeight="1">
      <c r="A537" s="34"/>
    </row>
    <row r="538" ht="15.75" customHeight="1">
      <c r="A538" s="34"/>
    </row>
    <row r="539" ht="15.75" customHeight="1">
      <c r="A539" s="34"/>
    </row>
    <row r="540" ht="15.75" customHeight="1">
      <c r="A540" s="34"/>
    </row>
    <row r="541" ht="15.75" customHeight="1">
      <c r="A541" s="34"/>
    </row>
    <row r="542" ht="15.75" customHeight="1">
      <c r="A542" s="34"/>
    </row>
    <row r="543" ht="15.75" customHeight="1">
      <c r="A543" s="34"/>
    </row>
    <row r="544" ht="15.75" customHeight="1">
      <c r="A544" s="34"/>
    </row>
    <row r="545" ht="15.75" customHeight="1">
      <c r="A545" s="34"/>
    </row>
    <row r="546" ht="15.75" customHeight="1">
      <c r="A546" s="34"/>
    </row>
    <row r="547" ht="15.75" customHeight="1">
      <c r="A547" s="34"/>
    </row>
    <row r="548" ht="15.75" customHeight="1">
      <c r="A548" s="34"/>
    </row>
    <row r="549" ht="15.75" customHeight="1">
      <c r="A549" s="34"/>
    </row>
    <row r="550" ht="15.75" customHeight="1">
      <c r="A550" s="34"/>
    </row>
    <row r="551" ht="15.75" customHeight="1">
      <c r="A551" s="34"/>
    </row>
    <row r="552" ht="15.75" customHeight="1">
      <c r="A552" s="34"/>
    </row>
    <row r="553" ht="15.75" customHeight="1">
      <c r="A553" s="34"/>
    </row>
    <row r="554" ht="15.75" customHeight="1">
      <c r="A554" s="34"/>
    </row>
    <row r="555" ht="15.75" customHeight="1">
      <c r="A555" s="34"/>
    </row>
    <row r="556" ht="15.75" customHeight="1">
      <c r="A556" s="34"/>
    </row>
    <row r="557" ht="15.75" customHeight="1">
      <c r="A557" s="34"/>
    </row>
    <row r="558" ht="15.75" customHeight="1">
      <c r="A558" s="34"/>
    </row>
    <row r="559" ht="15.75" customHeight="1">
      <c r="A559" s="34"/>
    </row>
    <row r="560" ht="15.75" customHeight="1">
      <c r="A560" s="34"/>
    </row>
    <row r="561" ht="15.75" customHeight="1">
      <c r="A561" s="34"/>
    </row>
    <row r="562" ht="15.75" customHeight="1">
      <c r="A562" s="34"/>
    </row>
    <row r="563" ht="15.75" customHeight="1">
      <c r="A563" s="34"/>
    </row>
    <row r="564" ht="15.75" customHeight="1">
      <c r="A564" s="34"/>
    </row>
    <row r="565" ht="15.75" customHeight="1">
      <c r="A565" s="34"/>
    </row>
    <row r="566" ht="15.75" customHeight="1">
      <c r="A566" s="34"/>
    </row>
    <row r="567" ht="15.75" customHeight="1">
      <c r="A567" s="34"/>
    </row>
    <row r="568" ht="15.75" customHeight="1">
      <c r="A568" s="34"/>
    </row>
    <row r="569" ht="15.75" customHeight="1">
      <c r="A569" s="34"/>
    </row>
    <row r="570" ht="15.75" customHeight="1">
      <c r="A570" s="34"/>
    </row>
    <row r="571" ht="15.75" customHeight="1">
      <c r="A571" s="34"/>
    </row>
    <row r="572" ht="15.75" customHeight="1">
      <c r="A572" s="34"/>
    </row>
    <row r="573" ht="15.75" customHeight="1">
      <c r="A573" s="34"/>
    </row>
    <row r="574" ht="15.75" customHeight="1">
      <c r="A574" s="34"/>
    </row>
    <row r="575" ht="15.75" customHeight="1">
      <c r="A575" s="34"/>
    </row>
    <row r="576" ht="15.75" customHeight="1">
      <c r="A576" s="34"/>
    </row>
    <row r="577" ht="15.75" customHeight="1">
      <c r="A577" s="34"/>
    </row>
    <row r="578" ht="15.75" customHeight="1">
      <c r="A578" s="34"/>
    </row>
    <row r="579" ht="15.75" customHeight="1">
      <c r="A579" s="34"/>
    </row>
    <row r="580" ht="15.75" customHeight="1">
      <c r="A580" s="34"/>
    </row>
    <row r="581" ht="15.75" customHeight="1">
      <c r="A581" s="34"/>
    </row>
    <row r="582" ht="15.75" customHeight="1">
      <c r="A582" s="34"/>
    </row>
    <row r="583" ht="15.75" customHeight="1">
      <c r="A583" s="34"/>
    </row>
    <row r="584" ht="15.75" customHeight="1">
      <c r="A584" s="34"/>
    </row>
    <row r="585" ht="15.75" customHeight="1">
      <c r="A585" s="34"/>
    </row>
    <row r="586" ht="15.75" customHeight="1">
      <c r="A586" s="34"/>
    </row>
    <row r="587" ht="15.75" customHeight="1">
      <c r="A587" s="34"/>
    </row>
    <row r="588" ht="15.75" customHeight="1">
      <c r="A588" s="34"/>
    </row>
    <row r="589" ht="15.75" customHeight="1">
      <c r="A589" s="34"/>
    </row>
    <row r="590" ht="15.75" customHeight="1">
      <c r="A590" s="34"/>
    </row>
    <row r="591" ht="15.75" customHeight="1">
      <c r="A591" s="34"/>
    </row>
    <row r="592" ht="15.75" customHeight="1">
      <c r="A592" s="34"/>
    </row>
    <row r="593" ht="15.75" customHeight="1">
      <c r="A593" s="34"/>
    </row>
    <row r="594" ht="15.75" customHeight="1">
      <c r="A594" s="34"/>
    </row>
    <row r="595" ht="15.75" customHeight="1">
      <c r="A595" s="34"/>
    </row>
    <row r="596" ht="15.75" customHeight="1">
      <c r="A596" s="34"/>
    </row>
    <row r="597" ht="15.75" customHeight="1">
      <c r="A597" s="34"/>
    </row>
    <row r="598" ht="15.75" customHeight="1">
      <c r="A598" s="34"/>
    </row>
    <row r="599" ht="15.75" customHeight="1">
      <c r="A599" s="34"/>
    </row>
    <row r="600" ht="15.75" customHeight="1">
      <c r="A600" s="34"/>
    </row>
    <row r="601" ht="15.75" customHeight="1">
      <c r="A601" s="34"/>
    </row>
    <row r="602" ht="15.75" customHeight="1">
      <c r="A602" s="34"/>
    </row>
    <row r="603" ht="15.75" customHeight="1">
      <c r="A603" s="34"/>
    </row>
    <row r="604" ht="15.75" customHeight="1">
      <c r="A604" s="34"/>
    </row>
    <row r="605" ht="15.75" customHeight="1">
      <c r="A605" s="34"/>
    </row>
    <row r="606" ht="15.75" customHeight="1">
      <c r="A606" s="34"/>
    </row>
    <row r="607" ht="15.75" customHeight="1">
      <c r="A607" s="34"/>
    </row>
    <row r="608" ht="15.75" customHeight="1">
      <c r="A608" s="34"/>
    </row>
    <row r="609" ht="15.75" customHeight="1">
      <c r="A609" s="34"/>
    </row>
    <row r="610" ht="15.75" customHeight="1">
      <c r="A610" s="34"/>
    </row>
    <row r="611" ht="15.75" customHeight="1">
      <c r="A611" s="34"/>
    </row>
    <row r="612" ht="15.75" customHeight="1">
      <c r="A612" s="34"/>
    </row>
    <row r="613" ht="15.75" customHeight="1">
      <c r="A613" s="34"/>
    </row>
    <row r="614" ht="15.75" customHeight="1">
      <c r="A614" s="34"/>
    </row>
    <row r="615" ht="15.75" customHeight="1">
      <c r="A615" s="34"/>
    </row>
    <row r="616" ht="15.75" customHeight="1">
      <c r="A616" s="34"/>
    </row>
    <row r="617" ht="15.75" customHeight="1">
      <c r="A617" s="34"/>
    </row>
    <row r="618" ht="15.75" customHeight="1">
      <c r="A618" s="34"/>
    </row>
    <row r="619" ht="15.75" customHeight="1">
      <c r="A619" s="34"/>
    </row>
    <row r="620" ht="15.75" customHeight="1">
      <c r="A620" s="34"/>
    </row>
    <row r="621" ht="15.75" customHeight="1">
      <c r="A621" s="34"/>
    </row>
    <row r="622" ht="15.75" customHeight="1">
      <c r="A622" s="34"/>
    </row>
    <row r="623" ht="15.75" customHeight="1">
      <c r="A623" s="34"/>
    </row>
    <row r="624" ht="15.75" customHeight="1">
      <c r="A624" s="34"/>
    </row>
    <row r="625" ht="15.75" customHeight="1">
      <c r="A625" s="34"/>
    </row>
    <row r="626" ht="15.75" customHeight="1">
      <c r="A626" s="34"/>
    </row>
    <row r="627" ht="15.75" customHeight="1">
      <c r="A627" s="34"/>
    </row>
    <row r="628" ht="15.75" customHeight="1">
      <c r="A628" s="34"/>
    </row>
    <row r="629" ht="15.75" customHeight="1">
      <c r="A629" s="34"/>
    </row>
    <row r="630" ht="15.75" customHeight="1">
      <c r="A630" s="34"/>
    </row>
    <row r="631" ht="15.75" customHeight="1">
      <c r="A631" s="34"/>
    </row>
    <row r="632" ht="15.75" customHeight="1">
      <c r="A632" s="34"/>
    </row>
    <row r="633" ht="15.75" customHeight="1">
      <c r="A633" s="34"/>
    </row>
    <row r="634" ht="15.75" customHeight="1">
      <c r="A634" s="34"/>
    </row>
    <row r="635" ht="15.75" customHeight="1">
      <c r="A635" s="34"/>
    </row>
    <row r="636" ht="15.75" customHeight="1">
      <c r="A636" s="34"/>
    </row>
    <row r="637" ht="15.75" customHeight="1">
      <c r="A637" s="34"/>
    </row>
    <row r="638" ht="15.75" customHeight="1">
      <c r="A638" s="34"/>
    </row>
    <row r="639" ht="15.75" customHeight="1">
      <c r="A639" s="34"/>
    </row>
    <row r="640" ht="15.75" customHeight="1">
      <c r="A640" s="34"/>
    </row>
    <row r="641" ht="15.75" customHeight="1">
      <c r="A641" s="34"/>
    </row>
    <row r="642" ht="15.75" customHeight="1">
      <c r="A642" s="34"/>
    </row>
    <row r="643" ht="15.75" customHeight="1">
      <c r="A643" s="34"/>
    </row>
    <row r="644" ht="15.75" customHeight="1">
      <c r="A644" s="34"/>
    </row>
    <row r="645" ht="15.75" customHeight="1">
      <c r="A645" s="34"/>
    </row>
    <row r="646" ht="15.75" customHeight="1">
      <c r="A646" s="34"/>
    </row>
    <row r="647" ht="15.75" customHeight="1">
      <c r="A647" s="34"/>
    </row>
    <row r="648" ht="15.75" customHeight="1">
      <c r="A648" s="34"/>
    </row>
    <row r="649" ht="15.75" customHeight="1">
      <c r="A649" s="34"/>
    </row>
    <row r="650" ht="15.75" customHeight="1">
      <c r="A650" s="34"/>
    </row>
    <row r="651" ht="15.75" customHeight="1">
      <c r="A651" s="34"/>
    </row>
    <row r="652" ht="15.75" customHeight="1">
      <c r="A652" s="34"/>
    </row>
    <row r="653" ht="15.75" customHeight="1">
      <c r="A653" s="34"/>
    </row>
    <row r="654" ht="15.75" customHeight="1">
      <c r="A654" s="34"/>
    </row>
    <row r="655" ht="15.75" customHeight="1">
      <c r="A655" s="34"/>
    </row>
    <row r="656" ht="15.75" customHeight="1">
      <c r="A656" s="34"/>
    </row>
    <row r="657" ht="15.75" customHeight="1">
      <c r="A657" s="34"/>
    </row>
    <row r="658" ht="15.75" customHeight="1">
      <c r="A658" s="34"/>
    </row>
    <row r="659" ht="15.75" customHeight="1">
      <c r="A659" s="34"/>
    </row>
    <row r="660" ht="15.75" customHeight="1">
      <c r="A660" s="34"/>
    </row>
    <row r="661" ht="15.75" customHeight="1">
      <c r="A661" s="34"/>
    </row>
    <row r="662" ht="15.75" customHeight="1">
      <c r="A662" s="34"/>
    </row>
    <row r="663" ht="15.75" customHeight="1">
      <c r="A663" s="34"/>
    </row>
    <row r="664" ht="15.75" customHeight="1">
      <c r="A664" s="34"/>
    </row>
    <row r="665" ht="15.75" customHeight="1">
      <c r="A665" s="34"/>
    </row>
    <row r="666" ht="15.75" customHeight="1">
      <c r="A666" s="34"/>
    </row>
    <row r="667" ht="15.75" customHeight="1">
      <c r="A667" s="34"/>
    </row>
    <row r="668" ht="15.75" customHeight="1">
      <c r="A668" s="34"/>
    </row>
    <row r="669" ht="15.75" customHeight="1">
      <c r="A669" s="34"/>
    </row>
    <row r="670" ht="15.75" customHeight="1">
      <c r="A670" s="34"/>
    </row>
    <row r="671" ht="15.75" customHeight="1">
      <c r="A671" s="34"/>
    </row>
    <row r="672" ht="15.75" customHeight="1">
      <c r="A672" s="34"/>
    </row>
    <row r="673" ht="15.75" customHeight="1">
      <c r="A673" s="34"/>
    </row>
    <row r="674" ht="15.75" customHeight="1">
      <c r="A674" s="34"/>
    </row>
    <row r="675" ht="15.75" customHeight="1">
      <c r="A675" s="34"/>
    </row>
    <row r="676" ht="15.75" customHeight="1">
      <c r="A676" s="34"/>
    </row>
    <row r="677" ht="15.75" customHeight="1">
      <c r="A677" s="34"/>
    </row>
    <row r="678" ht="15.75" customHeight="1">
      <c r="A678" s="34"/>
    </row>
    <row r="679" ht="15.75" customHeight="1">
      <c r="A679" s="34"/>
    </row>
    <row r="680" ht="15.75" customHeight="1">
      <c r="A680" s="34"/>
    </row>
    <row r="681" ht="15.75" customHeight="1">
      <c r="A681" s="34"/>
    </row>
    <row r="682" ht="15.75" customHeight="1">
      <c r="A682" s="34"/>
    </row>
    <row r="683" ht="15.75" customHeight="1">
      <c r="A683" s="34"/>
    </row>
    <row r="684" ht="15.75" customHeight="1">
      <c r="A684" s="34"/>
    </row>
    <row r="685" ht="15.75" customHeight="1">
      <c r="A685" s="34"/>
    </row>
    <row r="686" ht="15.75" customHeight="1">
      <c r="A686" s="34"/>
    </row>
    <row r="687" ht="15.75" customHeight="1">
      <c r="A687" s="34"/>
    </row>
    <row r="688" ht="15.75" customHeight="1">
      <c r="A688" s="34"/>
    </row>
    <row r="689" ht="15.75" customHeight="1">
      <c r="A689" s="34"/>
    </row>
    <row r="690" ht="15.75" customHeight="1">
      <c r="A690" s="34"/>
    </row>
    <row r="691" ht="15.75" customHeight="1">
      <c r="A691" s="34"/>
    </row>
    <row r="692" ht="15.75" customHeight="1">
      <c r="A692" s="34"/>
    </row>
    <row r="693" ht="15.75" customHeight="1">
      <c r="A693" s="34"/>
    </row>
    <row r="694" ht="15.75" customHeight="1">
      <c r="A694" s="34"/>
    </row>
    <row r="695" ht="15.75" customHeight="1">
      <c r="A695" s="34"/>
    </row>
    <row r="696" ht="15.75" customHeight="1">
      <c r="A696" s="34"/>
    </row>
    <row r="697" ht="15.75" customHeight="1">
      <c r="A697" s="34"/>
    </row>
    <row r="698" ht="15.75" customHeight="1">
      <c r="A698" s="34"/>
    </row>
    <row r="699" ht="15.75" customHeight="1">
      <c r="A699" s="34"/>
    </row>
    <row r="700" ht="15.75" customHeight="1">
      <c r="A700" s="34"/>
    </row>
    <row r="701" ht="15.75" customHeight="1">
      <c r="A701" s="34"/>
    </row>
    <row r="702" ht="15.75" customHeight="1">
      <c r="A702" s="34"/>
    </row>
    <row r="703" ht="15.75" customHeight="1">
      <c r="A703" s="34"/>
    </row>
    <row r="704" ht="15.75" customHeight="1">
      <c r="A704" s="34"/>
    </row>
    <row r="705" ht="15.75" customHeight="1">
      <c r="A705" s="34"/>
    </row>
    <row r="706" ht="15.75" customHeight="1">
      <c r="A706" s="34"/>
    </row>
    <row r="707" ht="15.75" customHeight="1">
      <c r="A707" s="34"/>
    </row>
    <row r="708" ht="15.75" customHeight="1">
      <c r="A708" s="34"/>
    </row>
    <row r="709" ht="15.75" customHeight="1">
      <c r="A709" s="34"/>
    </row>
    <row r="710" ht="15.75" customHeight="1">
      <c r="A710" s="34"/>
    </row>
    <row r="711" ht="15.75" customHeight="1">
      <c r="A711" s="34"/>
    </row>
    <row r="712" ht="15.75" customHeight="1">
      <c r="A712" s="34"/>
    </row>
    <row r="713" ht="15.75" customHeight="1">
      <c r="A713" s="34"/>
    </row>
    <row r="714" ht="15.75" customHeight="1">
      <c r="A714" s="34"/>
    </row>
    <row r="715" ht="15.75" customHeight="1">
      <c r="A715" s="34"/>
    </row>
    <row r="716" ht="15.75" customHeight="1">
      <c r="A716" s="34"/>
    </row>
    <row r="717" ht="15.75" customHeight="1">
      <c r="A717" s="34"/>
    </row>
    <row r="718" ht="15.75" customHeight="1">
      <c r="A718" s="34"/>
    </row>
    <row r="719" ht="15.75" customHeight="1">
      <c r="A719" s="34"/>
    </row>
    <row r="720" ht="15.75" customHeight="1">
      <c r="A720" s="34"/>
    </row>
    <row r="721" ht="15.75" customHeight="1">
      <c r="A721" s="34"/>
    </row>
    <row r="722" ht="15.75" customHeight="1">
      <c r="A722" s="34"/>
    </row>
    <row r="723" ht="15.75" customHeight="1">
      <c r="A723" s="34"/>
    </row>
    <row r="724" ht="15.75" customHeight="1">
      <c r="A724" s="34"/>
    </row>
    <row r="725" ht="15.75" customHeight="1">
      <c r="A725" s="34"/>
    </row>
    <row r="726" ht="15.75" customHeight="1">
      <c r="A726" s="34"/>
    </row>
    <row r="727" ht="15.75" customHeight="1">
      <c r="A727" s="34"/>
    </row>
    <row r="728" ht="15.75" customHeight="1">
      <c r="A728" s="34"/>
    </row>
    <row r="729" ht="15.75" customHeight="1">
      <c r="A729" s="34"/>
    </row>
    <row r="730" ht="15.75" customHeight="1">
      <c r="A730" s="34"/>
    </row>
    <row r="731" ht="15.75" customHeight="1">
      <c r="A731" s="34"/>
    </row>
    <row r="732" ht="15.75" customHeight="1">
      <c r="A732" s="34"/>
    </row>
    <row r="733" ht="15.75" customHeight="1">
      <c r="A733" s="34"/>
    </row>
    <row r="734" ht="15.75" customHeight="1">
      <c r="A734" s="34"/>
    </row>
    <row r="735" ht="15.75" customHeight="1">
      <c r="A735" s="34"/>
    </row>
    <row r="736" ht="15.75" customHeight="1">
      <c r="A736" s="34"/>
    </row>
    <row r="737" ht="15.75" customHeight="1">
      <c r="A737" s="34"/>
    </row>
    <row r="738" ht="15.75" customHeight="1">
      <c r="A738" s="34"/>
    </row>
    <row r="739" ht="15.75" customHeight="1">
      <c r="A739" s="34"/>
    </row>
    <row r="740" ht="15.75" customHeight="1">
      <c r="A740" s="34"/>
    </row>
    <row r="741" ht="15.75" customHeight="1">
      <c r="A741" s="34"/>
    </row>
    <row r="742" ht="15.75" customHeight="1">
      <c r="A742" s="34"/>
    </row>
    <row r="743" ht="15.75" customHeight="1">
      <c r="A743" s="34"/>
    </row>
    <row r="744" ht="15.75" customHeight="1">
      <c r="A744" s="34"/>
    </row>
    <row r="745" ht="15.75" customHeight="1">
      <c r="A745" s="34"/>
    </row>
    <row r="746" ht="15.75" customHeight="1">
      <c r="A746" s="34"/>
    </row>
    <row r="747" ht="15.75" customHeight="1">
      <c r="A747" s="34"/>
    </row>
    <row r="748" ht="15.75" customHeight="1">
      <c r="A748" s="34"/>
    </row>
    <row r="749" ht="15.75" customHeight="1">
      <c r="A749" s="34"/>
    </row>
    <row r="750" ht="15.75" customHeight="1">
      <c r="A750" s="34"/>
    </row>
    <row r="751" ht="15.75" customHeight="1">
      <c r="A751" s="34"/>
    </row>
    <row r="752" ht="15.75" customHeight="1">
      <c r="A752" s="34"/>
    </row>
    <row r="753" ht="15.75" customHeight="1">
      <c r="A753" s="34"/>
    </row>
    <row r="754" ht="15.75" customHeight="1">
      <c r="A754" s="34"/>
    </row>
    <row r="755" ht="15.75" customHeight="1">
      <c r="A755" s="34"/>
    </row>
    <row r="756" ht="15.75" customHeight="1">
      <c r="A756" s="34"/>
    </row>
    <row r="757" ht="15.75" customHeight="1">
      <c r="A757" s="34"/>
    </row>
    <row r="758" ht="15.75" customHeight="1">
      <c r="A758" s="34"/>
    </row>
    <row r="759" ht="15.75" customHeight="1">
      <c r="A759" s="34"/>
    </row>
    <row r="760" ht="15.75" customHeight="1">
      <c r="A760" s="34"/>
    </row>
    <row r="761" ht="15.75" customHeight="1">
      <c r="A761" s="34"/>
    </row>
    <row r="762" ht="15.75" customHeight="1">
      <c r="A762" s="34"/>
    </row>
    <row r="763" ht="15.75" customHeight="1">
      <c r="A763" s="34"/>
    </row>
    <row r="764" ht="15.75" customHeight="1">
      <c r="A764" s="34"/>
    </row>
    <row r="765" ht="15.75" customHeight="1">
      <c r="A765" s="34"/>
    </row>
    <row r="766" ht="15.75" customHeight="1">
      <c r="A766" s="34"/>
    </row>
    <row r="767" ht="15.75" customHeight="1">
      <c r="A767" s="34"/>
    </row>
    <row r="768" ht="15.75" customHeight="1">
      <c r="A768" s="34"/>
    </row>
    <row r="769" ht="15.75" customHeight="1">
      <c r="A769" s="34"/>
    </row>
    <row r="770" ht="15.75" customHeight="1">
      <c r="A770" s="34"/>
    </row>
    <row r="771" ht="15.75" customHeight="1">
      <c r="A771" s="34"/>
    </row>
    <row r="772" ht="15.75" customHeight="1">
      <c r="A772" s="34"/>
    </row>
    <row r="773" ht="15.75" customHeight="1">
      <c r="A773" s="34"/>
    </row>
    <row r="774" ht="15.75" customHeight="1">
      <c r="A774" s="34"/>
    </row>
    <row r="775" ht="15.75" customHeight="1">
      <c r="A775" s="34"/>
    </row>
    <row r="776" ht="15.75" customHeight="1">
      <c r="A776" s="34"/>
    </row>
    <row r="777" ht="15.75" customHeight="1">
      <c r="A777" s="34"/>
    </row>
    <row r="778" ht="15.75" customHeight="1">
      <c r="A778" s="34"/>
    </row>
    <row r="779" ht="15.75" customHeight="1">
      <c r="A779" s="34"/>
    </row>
    <row r="780" ht="15.75" customHeight="1">
      <c r="A780" s="34"/>
    </row>
    <row r="781" ht="15.75" customHeight="1">
      <c r="A781" s="34"/>
    </row>
    <row r="782" ht="15.75" customHeight="1">
      <c r="A782" s="34"/>
    </row>
    <row r="783" ht="15.75" customHeight="1">
      <c r="A783" s="34"/>
    </row>
    <row r="784" ht="15.75" customHeight="1">
      <c r="A784" s="34"/>
    </row>
    <row r="785" ht="15.75" customHeight="1">
      <c r="A785" s="34"/>
    </row>
    <row r="786" ht="15.75" customHeight="1">
      <c r="A786" s="34"/>
    </row>
    <row r="787" ht="15.75" customHeight="1">
      <c r="A787" s="34"/>
    </row>
    <row r="788" ht="15.75" customHeight="1">
      <c r="A788" s="34"/>
    </row>
    <row r="789" ht="15.75" customHeight="1">
      <c r="A789" s="34"/>
    </row>
    <row r="790" ht="15.75" customHeight="1">
      <c r="A790" s="34"/>
    </row>
    <row r="791" ht="15.75" customHeight="1">
      <c r="A791" s="34"/>
    </row>
    <row r="792" ht="15.75" customHeight="1">
      <c r="A792" s="34"/>
    </row>
    <row r="793" ht="15.75" customHeight="1">
      <c r="A793" s="34"/>
    </row>
    <row r="794" ht="15.75" customHeight="1">
      <c r="A794" s="34"/>
    </row>
    <row r="795" ht="15.75" customHeight="1">
      <c r="A795" s="34"/>
    </row>
    <row r="796" ht="15.75" customHeight="1">
      <c r="A796" s="34"/>
    </row>
    <row r="797" ht="15.75" customHeight="1">
      <c r="A797" s="34"/>
    </row>
    <row r="798" ht="15.75" customHeight="1">
      <c r="A798" s="34"/>
    </row>
    <row r="799" ht="15.75" customHeight="1">
      <c r="A799" s="34"/>
    </row>
    <row r="800" ht="15.75" customHeight="1">
      <c r="A800" s="34"/>
    </row>
    <row r="801" ht="15.75" customHeight="1">
      <c r="A801" s="34"/>
    </row>
    <row r="802" ht="15.75" customHeight="1">
      <c r="A802" s="34"/>
    </row>
    <row r="803" ht="15.75" customHeight="1">
      <c r="A803" s="34"/>
    </row>
    <row r="804" ht="15.75" customHeight="1">
      <c r="A804" s="34"/>
    </row>
    <row r="805" ht="15.75" customHeight="1">
      <c r="A805" s="34"/>
    </row>
    <row r="806" ht="15.75" customHeight="1">
      <c r="A806" s="34"/>
    </row>
    <row r="807" ht="15.75" customHeight="1">
      <c r="A807" s="34"/>
    </row>
    <row r="808" ht="15.75" customHeight="1">
      <c r="A808" s="34"/>
    </row>
    <row r="809" ht="15.75" customHeight="1">
      <c r="A809" s="34"/>
    </row>
    <row r="810" ht="15.75" customHeight="1">
      <c r="A810" s="34"/>
    </row>
    <row r="811" ht="15.75" customHeight="1">
      <c r="A811" s="34"/>
    </row>
    <row r="812" ht="15.75" customHeight="1">
      <c r="A812" s="34"/>
    </row>
    <row r="813" ht="15.75" customHeight="1">
      <c r="A813" s="34"/>
    </row>
    <row r="814" ht="15.75" customHeight="1">
      <c r="A814" s="34"/>
    </row>
    <row r="815" ht="15.75" customHeight="1">
      <c r="A815" s="34"/>
    </row>
    <row r="816" ht="15.75" customHeight="1">
      <c r="A816" s="34"/>
    </row>
    <row r="817" ht="15.75" customHeight="1">
      <c r="A817" s="34"/>
    </row>
    <row r="818" ht="15.75" customHeight="1">
      <c r="A818" s="34"/>
    </row>
    <row r="819" ht="15.75" customHeight="1">
      <c r="A819" s="34"/>
    </row>
    <row r="820" ht="15.75" customHeight="1">
      <c r="A820" s="34"/>
    </row>
    <row r="821" ht="15.75" customHeight="1">
      <c r="A821" s="34"/>
    </row>
    <row r="822" ht="15.75" customHeight="1">
      <c r="A822" s="34"/>
    </row>
    <row r="823" ht="15.75" customHeight="1">
      <c r="A823" s="34"/>
    </row>
    <row r="824" ht="15.75" customHeight="1">
      <c r="A824" s="34"/>
    </row>
    <row r="825" ht="15.75" customHeight="1">
      <c r="A825" s="34"/>
    </row>
    <row r="826" ht="15.75" customHeight="1">
      <c r="A826" s="34"/>
    </row>
    <row r="827" ht="15.75" customHeight="1">
      <c r="A827" s="34"/>
    </row>
    <row r="828" ht="15.75" customHeight="1">
      <c r="A828" s="34"/>
    </row>
    <row r="829" ht="15.75" customHeight="1">
      <c r="A829" s="34"/>
    </row>
    <row r="830" ht="15.75" customHeight="1">
      <c r="A830" s="34"/>
    </row>
    <row r="831" ht="15.75" customHeight="1">
      <c r="A831" s="34"/>
    </row>
    <row r="832" ht="15.75" customHeight="1">
      <c r="A832" s="34"/>
    </row>
    <row r="833" ht="15.75" customHeight="1">
      <c r="A833" s="34"/>
    </row>
    <row r="834" ht="15.75" customHeight="1">
      <c r="A834" s="34"/>
    </row>
    <row r="835" ht="15.75" customHeight="1">
      <c r="A835" s="34"/>
    </row>
    <row r="836" ht="15.75" customHeight="1">
      <c r="A836" s="34"/>
    </row>
    <row r="837" ht="15.75" customHeight="1">
      <c r="A837" s="34"/>
    </row>
    <row r="838" ht="15.75" customHeight="1">
      <c r="A838" s="34"/>
    </row>
    <row r="839" ht="15.75" customHeight="1">
      <c r="A839" s="34"/>
    </row>
    <row r="840" ht="15.75" customHeight="1">
      <c r="A840" s="34"/>
    </row>
    <row r="841" ht="15.75" customHeight="1">
      <c r="A841" s="34"/>
    </row>
    <row r="842" ht="15.75" customHeight="1">
      <c r="A842" s="34"/>
    </row>
    <row r="843" ht="15.75" customHeight="1">
      <c r="A843" s="34"/>
    </row>
    <row r="844" ht="15.75" customHeight="1">
      <c r="A844" s="34"/>
    </row>
    <row r="845" ht="15.75" customHeight="1">
      <c r="A845" s="34"/>
    </row>
    <row r="846" ht="15.75" customHeight="1">
      <c r="A846" s="34"/>
    </row>
    <row r="847" ht="15.75" customHeight="1">
      <c r="A847" s="34"/>
    </row>
    <row r="848" ht="15.75" customHeight="1">
      <c r="A848" s="34"/>
    </row>
    <row r="849" ht="15.75" customHeight="1">
      <c r="A849" s="34"/>
    </row>
    <row r="850" ht="15.75" customHeight="1">
      <c r="A850" s="34"/>
    </row>
    <row r="851" ht="15.75" customHeight="1">
      <c r="A851" s="34"/>
    </row>
    <row r="852" ht="15.75" customHeight="1">
      <c r="A852" s="34"/>
    </row>
    <row r="853" ht="15.75" customHeight="1">
      <c r="A853" s="34"/>
    </row>
    <row r="854" ht="15.75" customHeight="1">
      <c r="A854" s="34"/>
    </row>
    <row r="855" ht="15.75" customHeight="1">
      <c r="A855" s="34"/>
    </row>
    <row r="856" ht="15.75" customHeight="1">
      <c r="A856" s="34"/>
    </row>
    <row r="857" ht="15.75" customHeight="1">
      <c r="A857" s="34"/>
    </row>
    <row r="858" ht="15.75" customHeight="1">
      <c r="A858" s="34"/>
    </row>
    <row r="859" ht="15.75" customHeight="1">
      <c r="A859" s="34"/>
    </row>
    <row r="860" ht="15.75" customHeight="1">
      <c r="A860" s="34"/>
    </row>
    <row r="861" ht="15.75" customHeight="1">
      <c r="A861" s="34"/>
    </row>
    <row r="862" ht="15.75" customHeight="1">
      <c r="A862" s="34"/>
    </row>
    <row r="863" ht="15.75" customHeight="1">
      <c r="A863" s="34"/>
    </row>
    <row r="864" ht="15.75" customHeight="1">
      <c r="A864" s="34"/>
    </row>
    <row r="865" ht="15.75" customHeight="1">
      <c r="A865" s="34"/>
    </row>
    <row r="866" ht="15.75" customHeight="1">
      <c r="A866" s="34"/>
    </row>
    <row r="867" ht="15.75" customHeight="1">
      <c r="A867" s="34"/>
    </row>
    <row r="868" ht="15.75" customHeight="1">
      <c r="A868" s="34"/>
    </row>
    <row r="869" ht="15.75" customHeight="1">
      <c r="A869" s="34"/>
    </row>
    <row r="870" ht="15.75" customHeight="1">
      <c r="A870" s="34"/>
    </row>
    <row r="871" ht="15.75" customHeight="1">
      <c r="A871" s="34"/>
    </row>
    <row r="872" ht="15.75" customHeight="1">
      <c r="A872" s="34"/>
    </row>
    <row r="873" ht="15.75" customHeight="1">
      <c r="A873" s="34"/>
    </row>
    <row r="874" ht="15.75" customHeight="1">
      <c r="A874" s="34"/>
    </row>
    <row r="875" ht="15.75" customHeight="1">
      <c r="A875" s="34"/>
    </row>
    <row r="876" ht="15.75" customHeight="1">
      <c r="A876" s="34"/>
    </row>
    <row r="877" ht="15.75" customHeight="1">
      <c r="A877" s="34"/>
    </row>
    <row r="878" ht="15.75" customHeight="1">
      <c r="A878" s="34"/>
    </row>
    <row r="879" ht="15.75" customHeight="1">
      <c r="A879" s="34"/>
    </row>
    <row r="880" ht="15.75" customHeight="1">
      <c r="A880" s="34"/>
    </row>
    <row r="881" ht="15.75" customHeight="1">
      <c r="A881" s="34"/>
    </row>
    <row r="882" ht="15.75" customHeight="1">
      <c r="A882" s="34"/>
    </row>
    <row r="883" ht="15.75" customHeight="1">
      <c r="A883" s="34"/>
    </row>
    <row r="884" ht="15.75" customHeight="1">
      <c r="A884" s="34"/>
    </row>
    <row r="885" ht="15.75" customHeight="1">
      <c r="A885" s="34"/>
    </row>
    <row r="886" ht="15.75" customHeight="1">
      <c r="A886" s="34"/>
    </row>
    <row r="887" ht="15.75" customHeight="1">
      <c r="A887" s="34"/>
    </row>
    <row r="888" ht="15.75" customHeight="1">
      <c r="A888" s="34"/>
    </row>
    <row r="889" ht="15.75" customHeight="1">
      <c r="A889" s="34"/>
    </row>
    <row r="890" ht="15.75" customHeight="1">
      <c r="A890" s="34"/>
    </row>
    <row r="891" ht="15.75" customHeight="1">
      <c r="A891" s="34"/>
    </row>
    <row r="892" ht="15.75" customHeight="1">
      <c r="A892" s="34"/>
    </row>
    <row r="893" ht="15.75" customHeight="1">
      <c r="A893" s="34"/>
    </row>
    <row r="894" ht="15.75" customHeight="1">
      <c r="A894" s="34"/>
    </row>
    <row r="895" ht="15.75" customHeight="1">
      <c r="A895" s="34"/>
    </row>
    <row r="896" ht="15.75" customHeight="1">
      <c r="A896" s="34"/>
    </row>
    <row r="897" ht="15.75" customHeight="1">
      <c r="A897" s="34"/>
    </row>
    <row r="898" ht="15.75" customHeight="1">
      <c r="A898" s="34"/>
    </row>
    <row r="899" ht="15.75" customHeight="1">
      <c r="A899" s="34"/>
    </row>
    <row r="900" ht="15.75" customHeight="1">
      <c r="A900" s="34"/>
    </row>
    <row r="901" ht="15.75" customHeight="1">
      <c r="A901" s="34"/>
    </row>
    <row r="902" ht="15.75" customHeight="1">
      <c r="A902" s="34"/>
    </row>
    <row r="903" ht="15.75" customHeight="1">
      <c r="A903" s="34"/>
    </row>
    <row r="904" ht="15.75" customHeight="1">
      <c r="A904" s="34"/>
    </row>
    <row r="905" ht="15.75" customHeight="1">
      <c r="A905" s="34"/>
    </row>
    <row r="906" ht="15.75" customHeight="1">
      <c r="A906" s="34"/>
    </row>
    <row r="907" ht="15.75" customHeight="1">
      <c r="A907" s="34"/>
    </row>
    <row r="908" ht="15.75" customHeight="1">
      <c r="A908" s="34"/>
    </row>
    <row r="909" ht="15.75" customHeight="1">
      <c r="A909" s="34"/>
    </row>
    <row r="910" ht="15.75" customHeight="1">
      <c r="A910" s="34"/>
    </row>
    <row r="911" ht="15.75" customHeight="1">
      <c r="A911" s="34"/>
    </row>
    <row r="912" ht="15.75" customHeight="1">
      <c r="A912" s="34"/>
    </row>
    <row r="913" ht="15.75" customHeight="1">
      <c r="A913" s="34"/>
    </row>
    <row r="914" ht="15.75" customHeight="1">
      <c r="A914" s="34"/>
    </row>
    <row r="915" ht="15.75" customHeight="1">
      <c r="A915" s="34"/>
    </row>
    <row r="916" ht="15.75" customHeight="1">
      <c r="A916" s="34"/>
    </row>
    <row r="917" ht="15.75" customHeight="1">
      <c r="A917" s="34"/>
    </row>
    <row r="918" ht="15.75" customHeight="1">
      <c r="A918" s="34"/>
    </row>
    <row r="919" ht="15.75" customHeight="1">
      <c r="A919" s="34"/>
    </row>
    <row r="920" ht="15.75" customHeight="1">
      <c r="A920" s="34"/>
    </row>
    <row r="921" ht="15.75" customHeight="1">
      <c r="A921" s="34"/>
    </row>
    <row r="922" ht="15.75" customHeight="1">
      <c r="A922" s="34"/>
    </row>
    <row r="923" ht="15.75" customHeight="1">
      <c r="A923" s="34"/>
    </row>
    <row r="924" ht="15.75" customHeight="1">
      <c r="A924" s="34"/>
    </row>
    <row r="925" ht="15.75" customHeight="1">
      <c r="A925" s="34"/>
    </row>
    <row r="926" ht="15.75" customHeight="1">
      <c r="A926" s="34"/>
    </row>
    <row r="927" ht="15.75" customHeight="1">
      <c r="A927" s="34"/>
    </row>
    <row r="928" ht="15.75" customHeight="1">
      <c r="A928" s="34"/>
    </row>
    <row r="929" ht="15.75" customHeight="1">
      <c r="A929" s="34"/>
    </row>
    <row r="930" ht="15.75" customHeight="1">
      <c r="A930" s="34"/>
    </row>
    <row r="931" ht="15.75" customHeight="1">
      <c r="A931" s="34"/>
    </row>
    <row r="932" ht="15.75" customHeight="1">
      <c r="A932" s="34"/>
    </row>
    <row r="933" ht="15.75" customHeight="1">
      <c r="A933" s="34"/>
    </row>
    <row r="934" ht="15.75" customHeight="1">
      <c r="A934" s="34"/>
    </row>
    <row r="935" ht="15.75" customHeight="1">
      <c r="A935" s="34"/>
    </row>
    <row r="936" ht="15.75" customHeight="1">
      <c r="A936" s="34"/>
    </row>
    <row r="937" ht="15.75" customHeight="1">
      <c r="A937" s="34"/>
    </row>
    <row r="938" ht="15.75" customHeight="1">
      <c r="A938" s="34"/>
    </row>
    <row r="939" ht="15.75" customHeight="1">
      <c r="A939" s="34"/>
    </row>
    <row r="940" ht="15.75" customHeight="1">
      <c r="A940" s="34"/>
    </row>
    <row r="941" ht="15.75" customHeight="1">
      <c r="A941" s="34"/>
    </row>
    <row r="942" ht="15.75" customHeight="1">
      <c r="A942" s="34"/>
    </row>
    <row r="943" ht="15.75" customHeight="1">
      <c r="A943" s="34"/>
    </row>
    <row r="944" ht="15.75" customHeight="1">
      <c r="A944" s="34"/>
    </row>
    <row r="945" ht="15.75" customHeight="1">
      <c r="A945" s="34"/>
    </row>
    <row r="946" ht="15.75" customHeight="1">
      <c r="A946" s="34"/>
    </row>
    <row r="947" ht="15.75" customHeight="1">
      <c r="A947" s="34"/>
    </row>
    <row r="948" ht="15.75" customHeight="1">
      <c r="A948" s="34"/>
    </row>
    <row r="949" ht="15.75" customHeight="1">
      <c r="A949" s="34"/>
    </row>
    <row r="950" ht="15.75" customHeight="1">
      <c r="A950" s="34"/>
    </row>
    <row r="951" ht="15.75" customHeight="1">
      <c r="A951" s="34"/>
    </row>
    <row r="952" ht="15.75" customHeight="1">
      <c r="A952" s="34"/>
    </row>
    <row r="953" ht="15.75" customHeight="1">
      <c r="A953" s="34"/>
    </row>
    <row r="954" ht="15.75" customHeight="1">
      <c r="A954" s="34"/>
    </row>
    <row r="955" ht="15.75" customHeight="1">
      <c r="A955" s="34"/>
    </row>
    <row r="956" ht="15.75" customHeight="1">
      <c r="A956" s="34"/>
    </row>
    <row r="957" ht="15.75" customHeight="1">
      <c r="A957" s="34"/>
    </row>
    <row r="958" ht="15.75" customHeight="1">
      <c r="A958" s="34"/>
    </row>
    <row r="959" ht="15.75" customHeight="1">
      <c r="A959" s="34"/>
    </row>
    <row r="960" ht="15.75" customHeight="1">
      <c r="A960" s="34"/>
    </row>
    <row r="961" ht="15.75" customHeight="1">
      <c r="A961" s="34"/>
    </row>
    <row r="962" ht="15.75" customHeight="1">
      <c r="A962" s="34"/>
    </row>
    <row r="963" ht="15.75" customHeight="1">
      <c r="A963" s="34"/>
    </row>
    <row r="964" ht="15.75" customHeight="1">
      <c r="A964" s="34"/>
    </row>
    <row r="965" ht="15.75" customHeight="1">
      <c r="A965" s="34"/>
    </row>
    <row r="966" ht="15.75" customHeight="1">
      <c r="A966" s="34"/>
    </row>
    <row r="967" ht="15.75" customHeight="1">
      <c r="A967" s="34"/>
    </row>
    <row r="968" ht="15.75" customHeight="1">
      <c r="A968" s="34"/>
    </row>
    <row r="969" ht="15.75" customHeight="1">
      <c r="A969" s="34"/>
    </row>
    <row r="970" ht="15.75" customHeight="1">
      <c r="A970" s="34"/>
    </row>
    <row r="971" ht="15.75" customHeight="1">
      <c r="A971" s="34"/>
    </row>
    <row r="972" ht="15.75" customHeight="1">
      <c r="A972" s="34"/>
    </row>
    <row r="973" ht="15.75" customHeight="1">
      <c r="A973" s="34"/>
    </row>
    <row r="974" ht="15.75" customHeight="1">
      <c r="A974" s="34"/>
    </row>
    <row r="975" ht="15.75" customHeight="1">
      <c r="A975" s="34"/>
    </row>
    <row r="976" ht="15.75" customHeight="1">
      <c r="A976" s="34"/>
    </row>
    <row r="977" ht="15.75" customHeight="1">
      <c r="A977" s="34"/>
    </row>
    <row r="978" ht="15.75" customHeight="1">
      <c r="A978" s="34"/>
    </row>
    <row r="979" ht="15.75" customHeight="1">
      <c r="A979" s="34"/>
    </row>
    <row r="980" ht="15.75" customHeight="1">
      <c r="A980" s="34"/>
    </row>
    <row r="981" ht="15.75" customHeight="1">
      <c r="A981" s="34"/>
    </row>
    <row r="982" ht="15.75" customHeight="1">
      <c r="A982" s="34"/>
    </row>
    <row r="983" ht="15.75" customHeight="1">
      <c r="A983" s="34"/>
    </row>
    <row r="984" ht="15.75" customHeight="1">
      <c r="A984" s="34"/>
    </row>
    <row r="985" ht="15.75" customHeight="1">
      <c r="A985" s="34"/>
    </row>
    <row r="986" ht="15.75" customHeight="1">
      <c r="A986" s="34"/>
    </row>
    <row r="987" ht="15.75" customHeight="1">
      <c r="A987" s="34"/>
    </row>
    <row r="988" ht="15.75" customHeight="1">
      <c r="A988" s="34"/>
    </row>
    <row r="989" ht="15.75" customHeight="1">
      <c r="A989" s="34"/>
    </row>
    <row r="990" ht="15.75" customHeight="1">
      <c r="A990" s="34"/>
    </row>
    <row r="991" ht="15.75" customHeight="1">
      <c r="A991" s="34"/>
    </row>
    <row r="992" ht="15.75" customHeight="1">
      <c r="A992" s="34"/>
    </row>
    <row r="993" ht="15.75" customHeight="1">
      <c r="A993" s="34"/>
    </row>
    <row r="994" ht="15.75" customHeight="1">
      <c r="A994" s="34"/>
    </row>
    <row r="995" ht="15.75" customHeight="1">
      <c r="A995" s="34"/>
    </row>
    <row r="996" ht="15.75" customHeight="1">
      <c r="A996" s="34"/>
    </row>
    <row r="997" ht="15.75" customHeight="1">
      <c r="A997" s="34"/>
    </row>
    <row r="998" ht="15.75" customHeight="1">
      <c r="A998" s="34"/>
    </row>
    <row r="999" ht="15.75" customHeight="1">
      <c r="A999" s="34"/>
    </row>
    <row r="1000" ht="15.75" customHeight="1">
      <c r="A1000" s="34"/>
    </row>
  </sheetData>
  <autoFilter ref="$A$1:$O$12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6.0"/>
    <col customWidth="1" min="3" max="3" width="8.0"/>
    <col customWidth="1" min="4" max="4" width="20.0"/>
    <col customWidth="1" min="5" max="5" width="7.0"/>
    <col customWidth="1" min="6" max="6" width="22.0"/>
    <col customWidth="1" min="7" max="7" width="34.0"/>
    <col customWidth="1" min="8" max="8" width="26.0"/>
    <col customWidth="1" min="9" max="9" width="16.0"/>
    <col customWidth="1" min="10" max="10" width="30.0"/>
    <col customWidth="1" min="11" max="11" width="26.0"/>
    <col customWidth="1" min="12" max="12" width="30.0"/>
    <col customWidth="1" min="13" max="13" width="8.0"/>
    <col customWidth="1" min="14" max="14" width="38.0"/>
    <col customWidth="1" min="15" max="15" width="14.0"/>
  </cols>
  <sheetData>
    <row r="1">
      <c r="A1" s="8" t="s">
        <v>3</v>
      </c>
      <c r="B1" s="8" t="s">
        <v>5</v>
      </c>
      <c r="C1" s="8" t="s">
        <v>9</v>
      </c>
      <c r="D1" s="8" t="s">
        <v>12</v>
      </c>
      <c r="E1" s="8" t="s">
        <v>14</v>
      </c>
      <c r="F1" s="8" t="s">
        <v>17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27</v>
      </c>
      <c r="L1" s="8" t="s">
        <v>29</v>
      </c>
      <c r="M1" s="8" t="s">
        <v>31</v>
      </c>
      <c r="N1" s="8" t="s">
        <v>34</v>
      </c>
      <c r="O1" s="8" t="s">
        <v>35</v>
      </c>
    </row>
    <row r="2">
      <c r="A2" s="13" t="s">
        <v>90</v>
      </c>
      <c r="B2" s="13" t="s">
        <v>94</v>
      </c>
      <c r="C2" s="13" t="s">
        <v>46</v>
      </c>
      <c r="D2" s="13"/>
      <c r="E2" s="13"/>
      <c r="F2" s="13" t="s">
        <v>7</v>
      </c>
      <c r="G2" s="13" t="s">
        <v>104</v>
      </c>
      <c r="H2" s="13"/>
      <c r="I2" s="15" t="str">
        <f>+33 2 40 87 54 03</f>
        <v>#ERROR!</v>
      </c>
      <c r="J2" s="19" t="s">
        <v>149</v>
      </c>
      <c r="K2" s="13"/>
      <c r="L2" s="13"/>
      <c r="M2" s="13"/>
      <c r="N2" s="13"/>
      <c r="O2" s="13" t="s">
        <v>92</v>
      </c>
    </row>
    <row r="3">
      <c r="A3" s="13" t="s">
        <v>190</v>
      </c>
      <c r="B3" s="13" t="s">
        <v>94</v>
      </c>
      <c r="C3" s="13" t="s">
        <v>46</v>
      </c>
      <c r="D3" s="13" t="s">
        <v>193</v>
      </c>
      <c r="E3" s="13">
        <v>44600.0</v>
      </c>
      <c r="F3" s="13" t="s">
        <v>7</v>
      </c>
      <c r="G3" s="13" t="s">
        <v>197</v>
      </c>
      <c r="H3" s="13"/>
      <c r="I3" s="13"/>
      <c r="J3" s="13"/>
      <c r="K3" s="13"/>
      <c r="L3" s="13"/>
      <c r="M3" s="13"/>
      <c r="N3" s="13"/>
      <c r="O3" s="13" t="s">
        <v>64</v>
      </c>
    </row>
    <row r="4">
      <c r="A4" s="13" t="s">
        <v>201</v>
      </c>
      <c r="B4" s="13" t="s">
        <v>94</v>
      </c>
      <c r="C4" s="13" t="s">
        <v>46</v>
      </c>
      <c r="D4" s="13" t="s">
        <v>203</v>
      </c>
      <c r="E4" s="13">
        <v>44850.0</v>
      </c>
      <c r="F4" s="13" t="s">
        <v>7</v>
      </c>
      <c r="G4" s="13" t="s">
        <v>207</v>
      </c>
      <c r="H4" s="13"/>
      <c r="I4" s="13" t="s">
        <v>208</v>
      </c>
      <c r="J4" s="13"/>
      <c r="K4" s="13"/>
      <c r="L4" s="13"/>
      <c r="M4" s="13"/>
      <c r="N4" s="13" t="s">
        <v>210</v>
      </c>
      <c r="O4" s="13" t="s">
        <v>64</v>
      </c>
    </row>
    <row r="5">
      <c r="A5" s="13" t="s">
        <v>213</v>
      </c>
      <c r="B5" s="13" t="s">
        <v>94</v>
      </c>
      <c r="C5" s="13" t="s">
        <v>46</v>
      </c>
      <c r="D5" s="13"/>
      <c r="E5" s="13"/>
      <c r="F5" s="13" t="s">
        <v>7</v>
      </c>
      <c r="G5" s="13" t="s">
        <v>219</v>
      </c>
      <c r="H5" s="13"/>
      <c r="I5" s="13" t="str">
        <f>+33 2 40 49 28 71</f>
        <v>#ERROR!</v>
      </c>
      <c r="J5" s="19" t="s">
        <v>229</v>
      </c>
      <c r="K5" s="13"/>
      <c r="L5" s="13"/>
      <c r="M5" s="13"/>
      <c r="N5" s="13"/>
      <c r="O5" s="13" t="s">
        <v>92</v>
      </c>
    </row>
    <row r="6">
      <c r="A6" s="13" t="s">
        <v>253</v>
      </c>
      <c r="B6" s="13" t="s">
        <v>94</v>
      </c>
      <c r="C6" s="13" t="s">
        <v>46</v>
      </c>
      <c r="D6" s="13" t="s">
        <v>257</v>
      </c>
      <c r="E6" s="13">
        <v>44390.0</v>
      </c>
      <c r="F6" s="13" t="s">
        <v>7</v>
      </c>
      <c r="G6" s="13" t="s">
        <v>260</v>
      </c>
      <c r="H6" s="13"/>
      <c r="I6" s="13" t="str">
        <f>+33 2 40 72 20 59</f>
        <v>#ERROR!</v>
      </c>
      <c r="J6" s="19" t="s">
        <v>270</v>
      </c>
      <c r="K6" s="13" t="s">
        <v>308</v>
      </c>
      <c r="L6" s="13" t="s">
        <v>309</v>
      </c>
      <c r="M6" s="13">
        <v>1994.0</v>
      </c>
      <c r="N6" s="13"/>
      <c r="O6" s="13" t="s">
        <v>92</v>
      </c>
    </row>
    <row r="7">
      <c r="A7" s="13" t="s">
        <v>314</v>
      </c>
      <c r="B7" s="13" t="s">
        <v>94</v>
      </c>
      <c r="C7" s="13" t="s">
        <v>46</v>
      </c>
      <c r="D7" s="13"/>
      <c r="E7" s="13"/>
      <c r="F7" s="13" t="s">
        <v>7</v>
      </c>
      <c r="G7" s="13" t="s">
        <v>320</v>
      </c>
      <c r="H7" s="13"/>
      <c r="I7" s="13" t="str">
        <f>+33 2 51 82 23 17</f>
        <v>#ERROR!</v>
      </c>
      <c r="J7" s="19" t="s">
        <v>333</v>
      </c>
      <c r="K7" s="13"/>
      <c r="L7" s="13" t="s">
        <v>358</v>
      </c>
      <c r="M7" s="13">
        <v>2021.0</v>
      </c>
      <c r="N7" s="13"/>
      <c r="O7" s="13" t="s">
        <v>92</v>
      </c>
    </row>
    <row r="8">
      <c r="A8" s="13" t="s">
        <v>364</v>
      </c>
      <c r="B8" s="13" t="s">
        <v>94</v>
      </c>
      <c r="C8" s="13" t="s">
        <v>46</v>
      </c>
      <c r="D8" s="13" t="s">
        <v>318</v>
      </c>
      <c r="E8" s="13">
        <v>44500.0</v>
      </c>
      <c r="F8" s="13" t="s">
        <v>7</v>
      </c>
      <c r="G8" s="13" t="s">
        <v>371</v>
      </c>
      <c r="I8" s="13"/>
      <c r="J8" s="13"/>
      <c r="K8" s="13"/>
      <c r="L8" s="13"/>
      <c r="M8" s="13"/>
      <c r="N8" s="13"/>
      <c r="O8" s="13" t="s">
        <v>64</v>
      </c>
    </row>
    <row r="9">
      <c r="A9" s="13" t="s">
        <v>382</v>
      </c>
      <c r="B9" s="13" t="s">
        <v>94</v>
      </c>
      <c r="C9" s="13" t="s">
        <v>46</v>
      </c>
      <c r="D9" s="13"/>
      <c r="E9" s="13"/>
      <c r="F9" s="13" t="s">
        <v>7</v>
      </c>
      <c r="G9" s="13" t="s">
        <v>389</v>
      </c>
      <c r="H9" s="13"/>
      <c r="I9" s="13" t="str">
        <f>+33 2 28 43 05 52</f>
        <v>#ERROR!</v>
      </c>
      <c r="J9" s="19" t="s">
        <v>400</v>
      </c>
      <c r="K9" s="13" t="s">
        <v>417</v>
      </c>
      <c r="L9" s="13" t="s">
        <v>419</v>
      </c>
      <c r="M9" s="13">
        <v>2020.0</v>
      </c>
      <c r="N9" s="13"/>
      <c r="O9" s="13" t="s">
        <v>92</v>
      </c>
    </row>
    <row r="10">
      <c r="A10" s="13" t="s">
        <v>422</v>
      </c>
      <c r="B10" s="13" t="s">
        <v>94</v>
      </c>
      <c r="C10" s="13" t="s">
        <v>46</v>
      </c>
      <c r="D10" s="13" t="s">
        <v>299</v>
      </c>
      <c r="E10" s="13">
        <v>44600.0</v>
      </c>
      <c r="F10" s="13" t="s">
        <v>7</v>
      </c>
      <c r="G10" s="13" t="s">
        <v>427</v>
      </c>
      <c r="H10" s="13"/>
      <c r="I10" s="13" t="s">
        <v>429</v>
      </c>
      <c r="J10" s="13"/>
      <c r="K10" s="13" t="s">
        <v>433</v>
      </c>
      <c r="L10" s="13" t="s">
        <v>437</v>
      </c>
      <c r="M10" s="13">
        <v>2005.0</v>
      </c>
      <c r="N10" s="13"/>
      <c r="O10" s="13" t="s">
        <v>64</v>
      </c>
    </row>
    <row r="11">
      <c r="A11" s="13" t="s">
        <v>441</v>
      </c>
      <c r="B11" s="13" t="s">
        <v>94</v>
      </c>
      <c r="C11" s="13" t="s">
        <v>46</v>
      </c>
      <c r="D11" s="13" t="s">
        <v>351</v>
      </c>
      <c r="E11" s="13">
        <v>44320.0</v>
      </c>
      <c r="F11" s="13" t="s">
        <v>7</v>
      </c>
      <c r="G11" s="13" t="s">
        <v>446</v>
      </c>
      <c r="H11" s="13"/>
      <c r="I11" s="13" t="s">
        <v>449</v>
      </c>
      <c r="J11" s="13"/>
      <c r="K11" s="13"/>
      <c r="L11" s="13"/>
      <c r="M11" s="13"/>
      <c r="N11" s="13"/>
      <c r="O11" s="13" t="s">
        <v>64</v>
      </c>
    </row>
    <row r="12">
      <c r="A12" s="13" t="s">
        <v>455</v>
      </c>
      <c r="B12" s="13" t="s">
        <v>94</v>
      </c>
      <c r="C12" s="13" t="s">
        <v>46</v>
      </c>
      <c r="D12" s="13"/>
      <c r="E12" s="13"/>
      <c r="F12" s="13" t="s">
        <v>7</v>
      </c>
      <c r="G12" s="13" t="s">
        <v>461</v>
      </c>
      <c r="H12" s="13"/>
      <c r="I12" s="13" t="str">
        <f>+33 2 51 17 76 72</f>
        <v>#ERROR!</v>
      </c>
      <c r="J12" s="19" t="s">
        <v>470</v>
      </c>
      <c r="K12" s="13" t="s">
        <v>480</v>
      </c>
      <c r="L12" s="13" t="s">
        <v>481</v>
      </c>
      <c r="M12" s="13">
        <v>2021.0</v>
      </c>
      <c r="N12" s="13"/>
      <c r="O12" s="13" t="s">
        <v>92</v>
      </c>
    </row>
    <row r="13">
      <c r="A13" s="13" t="s">
        <v>485</v>
      </c>
      <c r="B13" s="13" t="s">
        <v>94</v>
      </c>
      <c r="C13" s="13" t="s">
        <v>46</v>
      </c>
      <c r="D13" s="13"/>
      <c r="E13" s="13"/>
      <c r="F13" s="13" t="s">
        <v>7</v>
      </c>
      <c r="G13" s="13" t="s">
        <v>488</v>
      </c>
      <c r="H13" s="13"/>
      <c r="I13" s="13" t="str">
        <f>+33 9 82 58 56 67</f>
        <v>#ERROR!</v>
      </c>
      <c r="J13" s="19" t="s">
        <v>497</v>
      </c>
      <c r="K13" s="13" t="s">
        <v>525</v>
      </c>
      <c r="L13" s="13" t="s">
        <v>527</v>
      </c>
      <c r="M13" s="13">
        <v>2020.0</v>
      </c>
      <c r="N13" s="13"/>
      <c r="O13" s="13" t="s">
        <v>92</v>
      </c>
    </row>
    <row r="14">
      <c r="A14" s="13" t="s">
        <v>531</v>
      </c>
      <c r="B14" s="13" t="s">
        <v>94</v>
      </c>
      <c r="C14" s="13" t="s">
        <v>46</v>
      </c>
      <c r="D14" s="13" t="s">
        <v>534</v>
      </c>
      <c r="E14" s="13">
        <v>44580.0</v>
      </c>
      <c r="F14" s="13" t="s">
        <v>7</v>
      </c>
      <c r="G14" s="13" t="s">
        <v>536</v>
      </c>
      <c r="H14" s="13"/>
      <c r="I14" s="13" t="str">
        <f>+33 6 63 43 03 00</f>
        <v>#ERROR!</v>
      </c>
      <c r="J14" s="19" t="s">
        <v>543</v>
      </c>
      <c r="K14" s="13"/>
      <c r="L14" s="13"/>
      <c r="M14" s="13"/>
      <c r="N14" s="13"/>
      <c r="O14" s="13" t="s">
        <v>296</v>
      </c>
    </row>
    <row r="15">
      <c r="A15" s="13" t="s">
        <v>567</v>
      </c>
      <c r="B15" s="13" t="s">
        <v>94</v>
      </c>
      <c r="C15" s="13" t="s">
        <v>46</v>
      </c>
      <c r="D15" s="13"/>
      <c r="E15" s="13"/>
      <c r="F15" s="13" t="s">
        <v>7</v>
      </c>
      <c r="G15" s="13" t="s">
        <v>570</v>
      </c>
      <c r="H15" s="13"/>
      <c r="I15" s="13" t="str">
        <f>+33 2 40 48 51 82</f>
        <v>#ERROR!</v>
      </c>
      <c r="J15" s="19" t="s">
        <v>575</v>
      </c>
      <c r="K15" s="13" t="s">
        <v>600</v>
      </c>
      <c r="L15" s="13" t="s">
        <v>601</v>
      </c>
      <c r="M15" s="13">
        <v>2018.0</v>
      </c>
      <c r="N15" s="13"/>
      <c r="O15" s="13" t="s">
        <v>92</v>
      </c>
    </row>
    <row r="16">
      <c r="A16" s="13" t="s">
        <v>604</v>
      </c>
      <c r="B16" s="13" t="s">
        <v>94</v>
      </c>
      <c r="C16" s="13" t="s">
        <v>46</v>
      </c>
      <c r="D16" s="13"/>
      <c r="E16" s="13"/>
      <c r="F16" s="13" t="s">
        <v>7</v>
      </c>
      <c r="G16" s="13" t="s">
        <v>606</v>
      </c>
      <c r="H16" s="13"/>
      <c r="I16" s="13" t="str">
        <f>+33 2 55 54 28 81</f>
        <v>#ERROR!</v>
      </c>
      <c r="J16" s="19" t="s">
        <v>612</v>
      </c>
      <c r="K16" s="13" t="s">
        <v>635</v>
      </c>
      <c r="L16" s="13" t="s">
        <v>638</v>
      </c>
      <c r="M16" s="13">
        <v>2021.0</v>
      </c>
      <c r="N16" s="13"/>
      <c r="O16" s="13" t="s">
        <v>92</v>
      </c>
    </row>
    <row r="17">
      <c r="A17" s="13" t="s">
        <v>640</v>
      </c>
      <c r="B17" s="13" t="s">
        <v>94</v>
      </c>
      <c r="C17" s="13" t="s">
        <v>46</v>
      </c>
      <c r="D17" s="13" t="s">
        <v>351</v>
      </c>
      <c r="E17" s="13">
        <v>44560.0</v>
      </c>
      <c r="F17" s="13" t="s">
        <v>7</v>
      </c>
      <c r="G17" s="13" t="s">
        <v>645</v>
      </c>
      <c r="H17" s="13"/>
      <c r="I17" s="13" t="s">
        <v>648</v>
      </c>
      <c r="J17" s="13"/>
      <c r="K17" s="13" t="s">
        <v>651</v>
      </c>
      <c r="L17" s="13" t="s">
        <v>652</v>
      </c>
      <c r="M17" s="13">
        <v>2019.0</v>
      </c>
      <c r="N17" s="13"/>
      <c r="O17" s="13" t="s">
        <v>64</v>
      </c>
    </row>
    <row r="18">
      <c r="A18" s="13" t="s">
        <v>657</v>
      </c>
      <c r="B18" s="13" t="s">
        <v>94</v>
      </c>
      <c r="C18" s="13" t="s">
        <v>46</v>
      </c>
      <c r="D18" s="13" t="s">
        <v>318</v>
      </c>
      <c r="E18" s="13">
        <v>44500.0</v>
      </c>
      <c r="F18" s="13" t="s">
        <v>7</v>
      </c>
      <c r="G18" s="13" t="s">
        <v>663</v>
      </c>
      <c r="H18" s="13"/>
      <c r="I18" s="13" t="s">
        <v>665</v>
      </c>
      <c r="J18" s="13"/>
      <c r="K18" s="13"/>
      <c r="L18" s="13"/>
      <c r="M18" s="13"/>
      <c r="N18" s="13"/>
      <c r="O18" s="13" t="s">
        <v>64</v>
      </c>
    </row>
    <row r="19">
      <c r="A19" s="13" t="s">
        <v>671</v>
      </c>
      <c r="B19" s="13" t="s">
        <v>94</v>
      </c>
      <c r="C19" s="13" t="s">
        <v>46</v>
      </c>
      <c r="D19" s="13" t="s">
        <v>318</v>
      </c>
      <c r="E19" s="13">
        <v>44500.0</v>
      </c>
      <c r="F19" s="13" t="s">
        <v>7</v>
      </c>
      <c r="G19" s="13" t="s">
        <v>673</v>
      </c>
      <c r="H19" s="13"/>
      <c r="I19" s="13" t="s">
        <v>675</v>
      </c>
      <c r="J19" s="13"/>
      <c r="K19" s="13" t="s">
        <v>676</v>
      </c>
      <c r="L19" s="13" t="s">
        <v>677</v>
      </c>
      <c r="M19" s="13">
        <v>2011.0</v>
      </c>
      <c r="N19" s="13"/>
      <c r="O19" s="13" t="s">
        <v>64</v>
      </c>
    </row>
    <row r="20">
      <c r="A20" s="13" t="s">
        <v>679</v>
      </c>
      <c r="B20" s="13" t="s">
        <v>94</v>
      </c>
      <c r="C20" s="13" t="s">
        <v>46</v>
      </c>
      <c r="D20" s="13" t="s">
        <v>681</v>
      </c>
      <c r="E20" s="13">
        <v>44320.0</v>
      </c>
      <c r="F20" s="13" t="s">
        <v>7</v>
      </c>
      <c r="G20" s="13" t="s">
        <v>682</v>
      </c>
      <c r="H20" s="13"/>
      <c r="I20" s="13"/>
      <c r="J20" s="13"/>
      <c r="K20" s="13"/>
      <c r="L20" s="13"/>
      <c r="M20" s="13"/>
      <c r="N20" s="13"/>
      <c r="O20" s="13" t="s">
        <v>64</v>
      </c>
    </row>
    <row r="21" ht="15.75" customHeight="1">
      <c r="A21" s="13" t="s">
        <v>687</v>
      </c>
      <c r="B21" s="13" t="s">
        <v>94</v>
      </c>
      <c r="C21" s="13" t="s">
        <v>46</v>
      </c>
      <c r="D21" s="13"/>
      <c r="E21" s="13"/>
      <c r="F21" s="13" t="s">
        <v>7</v>
      </c>
      <c r="G21" s="13" t="s">
        <v>694</v>
      </c>
      <c r="H21" s="13"/>
      <c r="I21" s="13" t="str">
        <f>+33 2 40 22 45 77</f>
        <v>#ERROR!</v>
      </c>
      <c r="J21" s="19" t="s">
        <v>699</v>
      </c>
      <c r="L21" s="13"/>
      <c r="M21" s="13"/>
      <c r="N21" s="13"/>
      <c r="O21" s="13" t="s">
        <v>92</v>
      </c>
    </row>
    <row r="22" ht="15.75" customHeight="1">
      <c r="A22" s="13" t="s">
        <v>736</v>
      </c>
      <c r="B22" s="13" t="s">
        <v>94</v>
      </c>
      <c r="C22" s="13" t="s">
        <v>46</v>
      </c>
      <c r="D22" s="13"/>
      <c r="E22" s="13"/>
      <c r="F22" s="13" t="s">
        <v>7</v>
      </c>
      <c r="G22" s="13" t="s">
        <v>739</v>
      </c>
      <c r="H22" s="13"/>
      <c r="I22" s="13" t="str">
        <f>+33 2 40 47 02 22</f>
        <v>#ERROR!</v>
      </c>
      <c r="J22" s="13"/>
      <c r="K22" s="13" t="s">
        <v>748</v>
      </c>
      <c r="L22" s="13" t="s">
        <v>750</v>
      </c>
      <c r="M22" s="13">
        <v>2022.0</v>
      </c>
      <c r="N22" s="13"/>
      <c r="O22" s="13" t="s">
        <v>92</v>
      </c>
    </row>
    <row r="23" ht="15.75" customHeight="1">
      <c r="A23" s="13" t="s">
        <v>753</v>
      </c>
      <c r="B23" s="13" t="s">
        <v>94</v>
      </c>
      <c r="C23" s="13" t="s">
        <v>46</v>
      </c>
      <c r="D23" s="13" t="s">
        <v>351</v>
      </c>
      <c r="E23" s="13">
        <v>44560.0</v>
      </c>
      <c r="F23" s="13" t="s">
        <v>7</v>
      </c>
      <c r="G23" s="13" t="s">
        <v>757</v>
      </c>
      <c r="H23" s="13"/>
      <c r="I23" s="13" t="s">
        <v>759</v>
      </c>
      <c r="J23" s="13"/>
      <c r="K23" s="13" t="s">
        <v>761</v>
      </c>
      <c r="L23" s="13" t="s">
        <v>764</v>
      </c>
      <c r="M23" s="13">
        <v>2021.0</v>
      </c>
      <c r="N23" s="13"/>
      <c r="O23" s="13" t="s">
        <v>64</v>
      </c>
    </row>
    <row r="24" ht="15.75" customHeight="1">
      <c r="A24" s="13" t="s">
        <v>766</v>
      </c>
      <c r="B24" s="13" t="s">
        <v>94</v>
      </c>
      <c r="C24" s="13" t="s">
        <v>46</v>
      </c>
      <c r="D24" s="13" t="s">
        <v>771</v>
      </c>
      <c r="E24" s="13">
        <v>44730.0</v>
      </c>
      <c r="F24" s="13" t="s">
        <v>7</v>
      </c>
      <c r="G24" s="13" t="s">
        <v>774</v>
      </c>
      <c r="H24" s="13"/>
      <c r="I24" s="13" t="s">
        <v>776</v>
      </c>
      <c r="J24" s="13"/>
      <c r="K24" s="13"/>
      <c r="L24" s="13"/>
      <c r="M24" s="13"/>
      <c r="N24" s="13"/>
      <c r="O24" s="13" t="s">
        <v>64</v>
      </c>
    </row>
    <row r="25" ht="15.75" customHeight="1">
      <c r="A25" s="13" t="s">
        <v>781</v>
      </c>
      <c r="B25" s="13" t="s">
        <v>94</v>
      </c>
      <c r="C25" s="13" t="s">
        <v>46</v>
      </c>
      <c r="D25" s="13"/>
      <c r="E25" s="13"/>
      <c r="F25" s="13" t="s">
        <v>7</v>
      </c>
      <c r="G25" s="13" t="s">
        <v>786</v>
      </c>
      <c r="H25" s="13"/>
      <c r="I25" s="13" t="str">
        <f>+33 6 15 05 10 45</f>
        <v>#ERROR!</v>
      </c>
      <c r="J25" s="19" t="s">
        <v>796</v>
      </c>
      <c r="K25" s="13" t="s">
        <v>819</v>
      </c>
      <c r="L25" s="13" t="s">
        <v>820</v>
      </c>
      <c r="M25" s="13">
        <v>2022.0</v>
      </c>
      <c r="N25" s="13"/>
      <c r="O25" s="13" t="s">
        <v>92</v>
      </c>
    </row>
    <row r="26" ht="15.75" customHeight="1">
      <c r="A26" s="13" t="s">
        <v>822</v>
      </c>
      <c r="B26" s="13" t="s">
        <v>94</v>
      </c>
      <c r="C26" s="13" t="s">
        <v>46</v>
      </c>
      <c r="D26" s="13" t="s">
        <v>534</v>
      </c>
      <c r="E26" s="13">
        <v>44580.0</v>
      </c>
      <c r="F26" s="13" t="s">
        <v>7</v>
      </c>
      <c r="G26" s="13" t="s">
        <v>828</v>
      </c>
      <c r="H26" s="13"/>
      <c r="I26" s="13" t="s">
        <v>830</v>
      </c>
      <c r="J26" s="13"/>
      <c r="K26" s="13" t="s">
        <v>833</v>
      </c>
      <c r="L26" s="13" t="s">
        <v>836</v>
      </c>
      <c r="M26" s="13">
        <v>2026.0</v>
      </c>
      <c r="N26" s="13"/>
      <c r="O26" s="13" t="s">
        <v>64</v>
      </c>
    </row>
    <row r="27" ht="15.75" customHeight="1">
      <c r="A27" s="13" t="s">
        <v>839</v>
      </c>
      <c r="B27" s="13" t="s">
        <v>94</v>
      </c>
      <c r="C27" s="13" t="s">
        <v>46</v>
      </c>
      <c r="D27" s="13" t="s">
        <v>844</v>
      </c>
      <c r="E27" s="13">
        <v>44190.0</v>
      </c>
      <c r="F27" s="13" t="s">
        <v>7</v>
      </c>
      <c r="G27" s="13" t="s">
        <v>846</v>
      </c>
      <c r="H27" s="13"/>
      <c r="I27" s="13"/>
      <c r="J27" s="13"/>
      <c r="K27" s="13"/>
      <c r="L27" s="13"/>
      <c r="M27" s="13"/>
      <c r="N27" s="13"/>
      <c r="O27" s="13" t="s">
        <v>64</v>
      </c>
    </row>
    <row r="28" ht="15.75" customHeight="1">
      <c r="A28" s="13" t="s">
        <v>853</v>
      </c>
      <c r="B28" s="13" t="s">
        <v>94</v>
      </c>
      <c r="C28" s="13" t="s">
        <v>46</v>
      </c>
      <c r="D28" s="13" t="s">
        <v>299</v>
      </c>
      <c r="E28" s="13">
        <v>44420.0</v>
      </c>
      <c r="F28" s="13" t="s">
        <v>7</v>
      </c>
      <c r="G28" s="13" t="s">
        <v>860</v>
      </c>
      <c r="H28" s="13"/>
      <c r="I28" s="13"/>
      <c r="J28" s="13"/>
      <c r="K28" s="13" t="s">
        <v>864</v>
      </c>
      <c r="L28" s="13" t="s">
        <v>866</v>
      </c>
      <c r="M28" s="13">
        <v>2021.0</v>
      </c>
      <c r="N28" s="13"/>
      <c r="O28" s="13" t="s">
        <v>64</v>
      </c>
    </row>
    <row r="29" ht="15.75" customHeight="1">
      <c r="A29" s="13" t="s">
        <v>870</v>
      </c>
      <c r="B29" s="13" t="s">
        <v>94</v>
      </c>
      <c r="C29" s="13" t="s">
        <v>46</v>
      </c>
      <c r="D29" s="13"/>
      <c r="E29" s="13"/>
      <c r="F29" s="13" t="s">
        <v>7</v>
      </c>
      <c r="G29" s="13" t="s">
        <v>876</v>
      </c>
      <c r="H29" s="13"/>
      <c r="I29" s="13" t="str">
        <f>+33 2 28 44 63 86</f>
        <v>#ERROR!</v>
      </c>
      <c r="J29" s="19" t="s">
        <v>884</v>
      </c>
      <c r="L29" s="13" t="s">
        <v>906</v>
      </c>
      <c r="M29" s="13">
        <v>1992.0</v>
      </c>
      <c r="N29" s="13"/>
      <c r="O29" s="13" t="s">
        <v>92</v>
      </c>
    </row>
    <row r="30" ht="15.75" customHeight="1">
      <c r="A30" s="13" t="s">
        <v>908</v>
      </c>
      <c r="B30" s="13" t="s">
        <v>94</v>
      </c>
      <c r="C30" s="13" t="s">
        <v>46</v>
      </c>
      <c r="D30" s="13"/>
      <c r="E30" s="13"/>
      <c r="F30" s="13" t="s">
        <v>7</v>
      </c>
      <c r="G30" s="13" t="s">
        <v>911</v>
      </c>
      <c r="H30" s="13"/>
      <c r="I30" s="13" t="str">
        <f>+33 6 26 30 51 36</f>
        <v>#ERROR!</v>
      </c>
      <c r="J30" s="13"/>
      <c r="K30" s="13" t="s">
        <v>919</v>
      </c>
      <c r="L30" s="13" t="s">
        <v>922</v>
      </c>
      <c r="M30" s="13">
        <v>2023.0</v>
      </c>
      <c r="N30" s="13"/>
      <c r="O30" s="13" t="s">
        <v>92</v>
      </c>
    </row>
    <row r="31" ht="15.75" customHeight="1">
      <c r="A31" s="13" t="s">
        <v>925</v>
      </c>
      <c r="B31" s="13" t="s">
        <v>94</v>
      </c>
      <c r="C31" s="13" t="s">
        <v>46</v>
      </c>
      <c r="D31" s="13" t="s">
        <v>386</v>
      </c>
      <c r="E31" s="13">
        <v>44510.0</v>
      </c>
      <c r="F31" s="13" t="s">
        <v>7</v>
      </c>
      <c r="G31" s="13" t="s">
        <v>929</v>
      </c>
      <c r="H31" s="13"/>
      <c r="I31" s="13" t="s">
        <v>932</v>
      </c>
      <c r="J31" s="13"/>
      <c r="K31" s="13"/>
      <c r="L31" s="13"/>
      <c r="M31" s="13"/>
      <c r="N31" s="13"/>
      <c r="O31" s="13" t="s">
        <v>64</v>
      </c>
    </row>
    <row r="32" ht="15.75" customHeight="1">
      <c r="A32" s="13" t="s">
        <v>935</v>
      </c>
      <c r="B32" s="13" t="s">
        <v>94</v>
      </c>
      <c r="C32" s="13" t="s">
        <v>46</v>
      </c>
      <c r="D32" s="13" t="s">
        <v>387</v>
      </c>
      <c r="E32" s="13">
        <v>44210.0</v>
      </c>
      <c r="F32" s="13" t="s">
        <v>7</v>
      </c>
      <c r="G32" s="13" t="s">
        <v>938</v>
      </c>
      <c r="H32" s="13"/>
      <c r="I32" s="13" t="s">
        <v>941</v>
      </c>
      <c r="J32" s="13"/>
      <c r="K32" s="13" t="s">
        <v>942</v>
      </c>
      <c r="L32" s="13" t="s">
        <v>935</v>
      </c>
      <c r="M32" s="13">
        <v>2012.0</v>
      </c>
      <c r="N32" s="13"/>
      <c r="O32" s="13" t="s">
        <v>64</v>
      </c>
    </row>
    <row r="33" ht="15.75" customHeight="1">
      <c r="A33" s="13" t="s">
        <v>947</v>
      </c>
      <c r="B33" s="13" t="s">
        <v>94</v>
      </c>
      <c r="C33" s="13" t="s">
        <v>46</v>
      </c>
      <c r="D33" s="13"/>
      <c r="E33" s="13"/>
      <c r="F33" s="13" t="s">
        <v>7</v>
      </c>
      <c r="G33" s="13" t="s">
        <v>950</v>
      </c>
      <c r="H33" s="13"/>
      <c r="I33" s="13" t="str">
        <f>+33 7 66 86 45 41</f>
        <v>#ERROR!</v>
      </c>
      <c r="J33" s="13"/>
      <c r="K33" s="13"/>
      <c r="L33" s="13"/>
      <c r="M33" s="13"/>
      <c r="N33" s="13"/>
      <c r="O33" s="13" t="s">
        <v>92</v>
      </c>
    </row>
    <row r="34" ht="15.75" customHeight="1">
      <c r="A34" s="13" t="s">
        <v>964</v>
      </c>
      <c r="B34" s="13" t="s">
        <v>94</v>
      </c>
      <c r="C34" s="13" t="s">
        <v>46</v>
      </c>
      <c r="D34" s="13" t="s">
        <v>237</v>
      </c>
      <c r="E34" s="13">
        <v>44115.0</v>
      </c>
      <c r="F34" s="13" t="s">
        <v>7</v>
      </c>
      <c r="G34" s="13" t="s">
        <v>969</v>
      </c>
      <c r="H34" s="13"/>
      <c r="I34" s="13"/>
      <c r="J34" s="13"/>
      <c r="K34" s="13"/>
      <c r="L34" s="13"/>
      <c r="M34" s="13"/>
      <c r="N34" s="13"/>
      <c r="O34" s="13" t="s">
        <v>64</v>
      </c>
    </row>
    <row r="35" ht="15.75" customHeight="1">
      <c r="A35" s="13" t="s">
        <v>978</v>
      </c>
      <c r="B35" s="13" t="s">
        <v>94</v>
      </c>
      <c r="C35" s="13" t="s">
        <v>46</v>
      </c>
      <c r="D35" s="13" t="s">
        <v>351</v>
      </c>
      <c r="E35" s="13">
        <v>44320.0</v>
      </c>
      <c r="F35" s="13" t="s">
        <v>7</v>
      </c>
      <c r="G35" s="13" t="s">
        <v>994</v>
      </c>
      <c r="H35" s="13"/>
      <c r="I35" s="13" t="s">
        <v>996</v>
      </c>
      <c r="J35" s="13"/>
      <c r="K35" s="13"/>
      <c r="L35" s="13"/>
      <c r="M35" s="13"/>
      <c r="N35" s="13"/>
      <c r="O35" s="13" t="s">
        <v>64</v>
      </c>
    </row>
    <row r="36" ht="15.75" customHeight="1">
      <c r="A36" s="13" t="s">
        <v>1001</v>
      </c>
      <c r="B36" s="13" t="s">
        <v>94</v>
      </c>
      <c r="C36" s="13" t="s">
        <v>46</v>
      </c>
      <c r="D36" s="13"/>
      <c r="E36" s="13"/>
      <c r="F36" s="13" t="s">
        <v>7</v>
      </c>
      <c r="G36" s="13" t="s">
        <v>1005</v>
      </c>
      <c r="H36" s="13"/>
      <c r="I36" s="13" t="str">
        <f>+33 6 25 05 71 83</f>
        <v>#ERROR!</v>
      </c>
      <c r="J36" s="19" t="s">
        <v>1015</v>
      </c>
      <c r="K36" s="13" t="s">
        <v>1040</v>
      </c>
      <c r="L36" s="13" t="s">
        <v>1042</v>
      </c>
      <c r="M36" s="13">
        <v>2020.0</v>
      </c>
      <c r="N36" s="13"/>
      <c r="O36" s="13" t="s">
        <v>92</v>
      </c>
    </row>
    <row r="37" ht="15.75" customHeight="1">
      <c r="A37" s="13" t="s">
        <v>1047</v>
      </c>
      <c r="B37" s="13" t="s">
        <v>94</v>
      </c>
      <c r="C37" s="13" t="s">
        <v>46</v>
      </c>
      <c r="D37" s="13" t="s">
        <v>1052</v>
      </c>
      <c r="E37" s="13">
        <v>44690.0</v>
      </c>
      <c r="F37" s="13" t="s">
        <v>7</v>
      </c>
      <c r="G37" s="13" t="s">
        <v>1055</v>
      </c>
      <c r="H37" s="13"/>
      <c r="I37" s="13" t="s">
        <v>1058</v>
      </c>
      <c r="J37" s="13"/>
      <c r="K37" s="13"/>
      <c r="L37" s="13"/>
      <c r="M37" s="13"/>
      <c r="N37" s="13"/>
      <c r="O37" s="13" t="s">
        <v>64</v>
      </c>
    </row>
    <row r="38" ht="15.75" customHeight="1">
      <c r="A38" s="13" t="s">
        <v>1063</v>
      </c>
      <c r="B38" s="13" t="s">
        <v>94</v>
      </c>
      <c r="C38" s="13" t="s">
        <v>46</v>
      </c>
      <c r="D38" s="13" t="s">
        <v>1066</v>
      </c>
      <c r="E38" s="13">
        <v>44160.0</v>
      </c>
      <c r="F38" s="13" t="s">
        <v>7</v>
      </c>
      <c r="G38" s="13" t="s">
        <v>1070</v>
      </c>
      <c r="H38" s="13"/>
      <c r="I38" s="13" t="s">
        <v>1072</v>
      </c>
      <c r="J38" s="13"/>
      <c r="K38" s="13"/>
      <c r="L38" s="13"/>
      <c r="M38" s="13"/>
      <c r="N38" s="13"/>
      <c r="O38" s="13" t="s">
        <v>64</v>
      </c>
    </row>
    <row r="39" ht="15.75" customHeight="1">
      <c r="A39" s="13" t="s">
        <v>1077</v>
      </c>
      <c r="B39" s="13" t="s">
        <v>94</v>
      </c>
      <c r="C39" s="13" t="s">
        <v>46</v>
      </c>
      <c r="D39" s="13" t="s">
        <v>1081</v>
      </c>
      <c r="E39" s="13">
        <v>44440.0</v>
      </c>
      <c r="F39" s="13" t="s">
        <v>7</v>
      </c>
      <c r="G39" s="13" t="s">
        <v>1084</v>
      </c>
      <c r="H39" s="13"/>
      <c r="I39" s="13" t="s">
        <v>1086</v>
      </c>
      <c r="J39" s="13"/>
      <c r="K39" s="13"/>
      <c r="L39" s="13"/>
      <c r="M39" s="13"/>
      <c r="N39" s="13" t="s">
        <v>1090</v>
      </c>
      <c r="O39" s="13" t="s">
        <v>64</v>
      </c>
    </row>
    <row r="40" ht="15.75" customHeight="1">
      <c r="A40" s="13" t="s">
        <v>1092</v>
      </c>
      <c r="B40" s="13" t="s">
        <v>94</v>
      </c>
      <c r="C40" s="13" t="s">
        <v>46</v>
      </c>
      <c r="D40" s="13" t="s">
        <v>1093</v>
      </c>
      <c r="E40" s="13">
        <v>44521.0</v>
      </c>
      <c r="F40" s="13" t="s">
        <v>7</v>
      </c>
      <c r="G40" s="13" t="s">
        <v>1096</v>
      </c>
      <c r="H40" s="13"/>
      <c r="I40" s="13" t="s">
        <v>1097</v>
      </c>
      <c r="J40" s="13"/>
      <c r="K40" s="13" t="s">
        <v>1099</v>
      </c>
      <c r="L40" s="13" t="s">
        <v>1100</v>
      </c>
      <c r="M40" s="13">
        <v>1986.0</v>
      </c>
      <c r="N40" s="13"/>
      <c r="O40" s="13" t="s">
        <v>64</v>
      </c>
    </row>
    <row r="41" ht="15.75" customHeight="1">
      <c r="A41" s="13" t="s">
        <v>1103</v>
      </c>
      <c r="B41" s="13" t="s">
        <v>94</v>
      </c>
      <c r="C41" s="13" t="s">
        <v>46</v>
      </c>
      <c r="D41" s="13" t="s">
        <v>341</v>
      </c>
      <c r="E41" s="13">
        <v>44521.0</v>
      </c>
      <c r="F41" s="13" t="s">
        <v>7</v>
      </c>
      <c r="G41" s="13" t="s">
        <v>1107</v>
      </c>
      <c r="H41" s="13"/>
      <c r="I41" s="13" t="s">
        <v>1109</v>
      </c>
      <c r="J41" s="13"/>
      <c r="K41" s="13" t="s">
        <v>1112</v>
      </c>
      <c r="L41" s="13" t="s">
        <v>1114</v>
      </c>
      <c r="M41" s="13">
        <v>2007.0</v>
      </c>
      <c r="N41" s="13"/>
      <c r="O41" s="13" t="s">
        <v>64</v>
      </c>
    </row>
    <row r="42" ht="15.75" customHeight="1">
      <c r="A42" s="13" t="s">
        <v>1116</v>
      </c>
      <c r="B42" s="13" t="s">
        <v>94</v>
      </c>
      <c r="C42" s="13" t="s">
        <v>46</v>
      </c>
      <c r="D42" s="13" t="s">
        <v>318</v>
      </c>
      <c r="E42" s="13">
        <v>44500.0</v>
      </c>
      <c r="F42" s="13" t="s">
        <v>7</v>
      </c>
      <c r="G42" s="13" t="s">
        <v>1121</v>
      </c>
      <c r="H42" s="13"/>
      <c r="I42" s="13"/>
      <c r="J42" s="13"/>
      <c r="K42" s="13"/>
      <c r="L42" s="13"/>
      <c r="M42" s="13"/>
      <c r="N42" s="13"/>
      <c r="O42" s="13" t="s">
        <v>64</v>
      </c>
    </row>
    <row r="43" ht="15.75" customHeight="1">
      <c r="A43" s="13" t="s">
        <v>1126</v>
      </c>
      <c r="B43" s="13" t="s">
        <v>94</v>
      </c>
      <c r="C43" s="13" t="s">
        <v>46</v>
      </c>
      <c r="D43" s="13" t="s">
        <v>49</v>
      </c>
      <c r="E43" s="13">
        <v>44150.0</v>
      </c>
      <c r="F43" s="13" t="s">
        <v>7</v>
      </c>
      <c r="G43" s="13" t="s">
        <v>1130</v>
      </c>
      <c r="H43" s="13"/>
      <c r="I43" s="13" t="s">
        <v>1133</v>
      </c>
      <c r="J43" s="13"/>
      <c r="K43" s="13"/>
      <c r="L43" s="13"/>
      <c r="M43" s="13"/>
      <c r="N43" s="13" t="s">
        <v>1135</v>
      </c>
      <c r="O43" s="13" t="s">
        <v>64</v>
      </c>
    </row>
    <row r="44" ht="15.75" customHeight="1">
      <c r="A44" s="13" t="s">
        <v>1138</v>
      </c>
      <c r="B44" s="13" t="s">
        <v>94</v>
      </c>
      <c r="C44" s="13" t="s">
        <v>46</v>
      </c>
      <c r="D44" s="13" t="s">
        <v>49</v>
      </c>
      <c r="E44" s="13">
        <v>44150.0</v>
      </c>
      <c r="F44" s="13" t="s">
        <v>7</v>
      </c>
      <c r="G44" s="13" t="s">
        <v>1144</v>
      </c>
      <c r="H44" s="13"/>
      <c r="I44" s="13" t="s">
        <v>1145</v>
      </c>
      <c r="J44" s="13"/>
      <c r="K44" s="13" t="s">
        <v>1147</v>
      </c>
      <c r="L44" s="13" t="s">
        <v>1148</v>
      </c>
      <c r="M44" s="13">
        <v>2007.0</v>
      </c>
      <c r="N44" s="13"/>
      <c r="O44" s="13" t="s">
        <v>64</v>
      </c>
    </row>
    <row r="45" ht="15.75" customHeight="1">
      <c r="A45" s="13" t="s">
        <v>1152</v>
      </c>
      <c r="B45" s="13" t="s">
        <v>94</v>
      </c>
      <c r="C45" s="13" t="s">
        <v>46</v>
      </c>
      <c r="D45" s="13" t="s">
        <v>1153</v>
      </c>
      <c r="E45" s="13">
        <v>44850.0</v>
      </c>
      <c r="F45" s="13" t="s">
        <v>7</v>
      </c>
      <c r="G45" s="13" t="s">
        <v>1156</v>
      </c>
      <c r="H45" s="13"/>
      <c r="I45" s="13"/>
      <c r="J45" s="13"/>
      <c r="K45" s="13" t="s">
        <v>1158</v>
      </c>
      <c r="L45" s="13" t="s">
        <v>1160</v>
      </c>
      <c r="M45" s="13">
        <v>2017.0</v>
      </c>
      <c r="N45" s="13"/>
      <c r="O45" s="13" t="s">
        <v>64</v>
      </c>
    </row>
    <row r="46" ht="15.75" customHeight="1">
      <c r="A46" s="13" t="s">
        <v>1163</v>
      </c>
      <c r="B46" s="13" t="s">
        <v>94</v>
      </c>
      <c r="C46" s="13" t="s">
        <v>46</v>
      </c>
      <c r="D46" s="13" t="s">
        <v>1153</v>
      </c>
      <c r="E46" s="13">
        <v>44850.0</v>
      </c>
      <c r="F46" s="13" t="s">
        <v>7</v>
      </c>
      <c r="G46" s="13" t="s">
        <v>1169</v>
      </c>
      <c r="H46" s="13"/>
      <c r="I46" s="13"/>
      <c r="J46" s="13"/>
      <c r="K46" s="13"/>
      <c r="L46" s="13"/>
      <c r="M46" s="13"/>
      <c r="N46" s="13"/>
      <c r="O46" s="13" t="s">
        <v>64</v>
      </c>
    </row>
    <row r="47" ht="15.75" customHeight="1">
      <c r="A47" s="13" t="s">
        <v>1173</v>
      </c>
      <c r="B47" s="13" t="s">
        <v>94</v>
      </c>
      <c r="C47" s="13" t="s">
        <v>46</v>
      </c>
      <c r="D47" s="13" t="s">
        <v>1175</v>
      </c>
      <c r="E47" s="13">
        <v>44850.0</v>
      </c>
      <c r="F47" s="13" t="s">
        <v>7</v>
      </c>
      <c r="G47" s="13" t="s">
        <v>1177</v>
      </c>
      <c r="H47" s="13"/>
      <c r="I47" s="13" t="s">
        <v>1179</v>
      </c>
      <c r="J47" s="13"/>
      <c r="K47" s="13"/>
      <c r="L47" s="13"/>
      <c r="M47" s="13"/>
      <c r="N47" s="13"/>
      <c r="O47" s="13" t="s">
        <v>64</v>
      </c>
    </row>
    <row r="48" ht="15.75" customHeight="1">
      <c r="A48" s="13" t="s">
        <v>1186</v>
      </c>
      <c r="B48" s="13" t="s">
        <v>94</v>
      </c>
      <c r="C48" s="13" t="s">
        <v>46</v>
      </c>
      <c r="D48" s="13" t="s">
        <v>1188</v>
      </c>
      <c r="E48" s="13">
        <v>44150.0</v>
      </c>
      <c r="F48" s="13" t="s">
        <v>7</v>
      </c>
      <c r="G48" s="13" t="s">
        <v>1189</v>
      </c>
      <c r="H48" s="13"/>
      <c r="I48" s="13" t="s">
        <v>1192</v>
      </c>
      <c r="J48" s="13"/>
      <c r="K48" s="13"/>
      <c r="L48" s="13"/>
      <c r="M48" s="13"/>
      <c r="N48" s="13"/>
      <c r="O48" s="13" t="s">
        <v>64</v>
      </c>
    </row>
    <row r="49" ht="15.75" customHeight="1">
      <c r="A49" s="13" t="s">
        <v>1195</v>
      </c>
      <c r="B49" s="13" t="s">
        <v>94</v>
      </c>
      <c r="C49" s="13" t="s">
        <v>46</v>
      </c>
      <c r="D49" s="13" t="s">
        <v>386</v>
      </c>
      <c r="E49" s="13">
        <v>44500.0</v>
      </c>
      <c r="F49" s="13" t="s">
        <v>7</v>
      </c>
      <c r="G49" s="13" t="s">
        <v>1199</v>
      </c>
      <c r="H49" s="13"/>
      <c r="I49" s="13" t="s">
        <v>1201</v>
      </c>
      <c r="J49" s="13"/>
      <c r="K49" s="13"/>
      <c r="L49" s="13"/>
      <c r="M49" s="13"/>
      <c r="N49" s="13"/>
      <c r="O49" s="13" t="s">
        <v>64</v>
      </c>
    </row>
    <row r="50" ht="15.75" customHeight="1">
      <c r="A50" s="13" t="s">
        <v>1205</v>
      </c>
      <c r="B50" s="13" t="s">
        <v>94</v>
      </c>
      <c r="C50" s="13" t="s">
        <v>46</v>
      </c>
      <c r="D50" s="13" t="s">
        <v>1208</v>
      </c>
      <c r="E50" s="13">
        <v>44690.0</v>
      </c>
      <c r="F50" s="13" t="s">
        <v>7</v>
      </c>
      <c r="G50" s="13" t="s">
        <v>1209</v>
      </c>
      <c r="H50" s="13"/>
      <c r="I50" s="13" t="s">
        <v>1213</v>
      </c>
      <c r="J50" s="13"/>
      <c r="K50" s="13" t="s">
        <v>1216</v>
      </c>
      <c r="L50" s="13" t="s">
        <v>1217</v>
      </c>
      <c r="M50" s="13">
        <v>2020.0</v>
      </c>
      <c r="N50" s="13"/>
      <c r="O50" s="13" t="s">
        <v>64</v>
      </c>
    </row>
    <row r="51" ht="15.75" customHeight="1">
      <c r="A51" s="13" t="s">
        <v>1218</v>
      </c>
      <c r="B51" s="13" t="s">
        <v>94</v>
      </c>
      <c r="C51" s="13" t="s">
        <v>46</v>
      </c>
      <c r="D51" s="13"/>
      <c r="E51" s="13"/>
      <c r="F51" s="13" t="s">
        <v>7</v>
      </c>
      <c r="G51" s="13" t="s">
        <v>1222</v>
      </c>
      <c r="H51" s="13"/>
      <c r="I51" s="13" t="str">
        <f>+33 2 28 44 38 23</f>
        <v>#ERROR!</v>
      </c>
      <c r="J51" s="19" t="s">
        <v>1227</v>
      </c>
      <c r="K51" s="13" t="s">
        <v>1264</v>
      </c>
      <c r="L51" s="13" t="s">
        <v>1266</v>
      </c>
      <c r="M51" s="13">
        <v>2017.0</v>
      </c>
      <c r="N51" s="13"/>
      <c r="O51" s="13" t="s">
        <v>92</v>
      </c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5.75" customHeight="1">
      <c r="A53" s="13" t="s">
        <v>1277</v>
      </c>
      <c r="B53" s="13" t="s">
        <v>94</v>
      </c>
      <c r="C53" s="13" t="s">
        <v>46</v>
      </c>
      <c r="D53" s="13" t="s">
        <v>1280</v>
      </c>
      <c r="E53" s="13">
        <v>49070.0</v>
      </c>
      <c r="F53" s="13" t="s">
        <v>33</v>
      </c>
      <c r="G53" s="13" t="s">
        <v>1283</v>
      </c>
      <c r="H53" s="13"/>
      <c r="I53" s="13" t="s">
        <v>1285</v>
      </c>
      <c r="J53" s="13"/>
      <c r="K53" s="13"/>
      <c r="L53" s="13"/>
      <c r="M53" s="13"/>
      <c r="N53" s="13" t="s">
        <v>1289</v>
      </c>
      <c r="O53" s="13" t="s">
        <v>1291</v>
      </c>
    </row>
    <row r="54" ht="15.75" customHeight="1">
      <c r="A54" s="13" t="s">
        <v>1296</v>
      </c>
      <c r="B54" s="13"/>
      <c r="C54" s="13" t="s">
        <v>46</v>
      </c>
      <c r="D54" s="13" t="s">
        <v>1299</v>
      </c>
      <c r="E54" s="13">
        <v>49125.0</v>
      </c>
      <c r="F54" s="13" t="s">
        <v>33</v>
      </c>
      <c r="G54" s="13" t="s">
        <v>1301</v>
      </c>
      <c r="H54" s="13"/>
      <c r="I54" s="13" t="s">
        <v>1303</v>
      </c>
      <c r="J54" s="13"/>
      <c r="K54" s="13" t="s">
        <v>1306</v>
      </c>
      <c r="L54" s="13" t="s">
        <v>1307</v>
      </c>
      <c r="N54" s="13" t="s">
        <v>1309</v>
      </c>
      <c r="O54" s="13" t="s">
        <v>1310</v>
      </c>
    </row>
    <row r="55" ht="15.75" customHeight="1">
      <c r="A55" s="13" t="s">
        <v>1312</v>
      </c>
      <c r="B55" s="13" t="s">
        <v>94</v>
      </c>
      <c r="C55" s="13" t="s">
        <v>46</v>
      </c>
      <c r="D55" s="13" t="s">
        <v>967</v>
      </c>
      <c r="E55" s="13">
        <v>49123.0</v>
      </c>
      <c r="F55" s="13" t="s">
        <v>33</v>
      </c>
      <c r="G55" s="13" t="s">
        <v>1317</v>
      </c>
      <c r="H55" s="13"/>
      <c r="I55" s="13"/>
      <c r="J55" s="13"/>
      <c r="K55" s="13" t="s">
        <v>1321</v>
      </c>
      <c r="L55" s="13" t="s">
        <v>1322</v>
      </c>
      <c r="M55" s="13">
        <v>2023.0</v>
      </c>
      <c r="N55" s="13"/>
      <c r="O55" s="13" t="s">
        <v>64</v>
      </c>
    </row>
    <row r="56" ht="15.75" customHeight="1">
      <c r="A56" s="13" t="s">
        <v>1324</v>
      </c>
      <c r="B56" s="13" t="s">
        <v>94</v>
      </c>
      <c r="C56" s="13" t="s">
        <v>46</v>
      </c>
      <c r="D56" s="13" t="s">
        <v>995</v>
      </c>
      <c r="E56" s="13">
        <v>49250.0</v>
      </c>
      <c r="F56" s="13" t="s">
        <v>33</v>
      </c>
      <c r="G56" s="13" t="s">
        <v>1331</v>
      </c>
      <c r="H56" s="13"/>
      <c r="I56" s="13" t="s">
        <v>1334</v>
      </c>
      <c r="J56" s="13"/>
      <c r="K56" s="13"/>
      <c r="L56" s="13"/>
      <c r="M56" s="13"/>
      <c r="N56" s="13"/>
      <c r="O56" s="13" t="s">
        <v>64</v>
      </c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5.75" customHeight="1">
      <c r="A58" s="13" t="s">
        <v>1342</v>
      </c>
      <c r="B58" s="13" t="s">
        <v>94</v>
      </c>
      <c r="C58" s="13" t="s">
        <v>46</v>
      </c>
      <c r="D58" s="13"/>
      <c r="E58" s="13"/>
      <c r="F58" s="13" t="s">
        <v>52</v>
      </c>
      <c r="G58" s="13" t="s">
        <v>1348</v>
      </c>
      <c r="H58" s="13"/>
      <c r="I58" s="13" t="str">
        <f>+33 2 30 96 21 00</f>
        <v>#ERROR!</v>
      </c>
      <c r="J58" s="19" t="s">
        <v>1363</v>
      </c>
      <c r="L58" s="13"/>
      <c r="M58" s="13"/>
      <c r="N58" s="13"/>
      <c r="O58" s="13" t="s">
        <v>92</v>
      </c>
    </row>
    <row r="59" ht="15.75" customHeight="1">
      <c r="A59" s="13" t="s">
        <v>1395</v>
      </c>
      <c r="B59" s="13" t="s">
        <v>94</v>
      </c>
      <c r="C59" s="13" t="s">
        <v>46</v>
      </c>
      <c r="D59" s="13"/>
      <c r="E59" s="13"/>
      <c r="F59" s="13" t="s">
        <v>52</v>
      </c>
      <c r="G59" s="13" t="s">
        <v>1398</v>
      </c>
      <c r="H59" s="13"/>
      <c r="I59" s="13" t="str">
        <f>+33 6 31 33 11 55</f>
        <v>#ERROR!</v>
      </c>
      <c r="J59" s="19" t="s">
        <v>1412</v>
      </c>
      <c r="K59" s="13"/>
      <c r="L59" s="13"/>
      <c r="M59" s="13"/>
      <c r="N59" s="13"/>
      <c r="O59" s="13" t="s">
        <v>92</v>
      </c>
    </row>
    <row r="60" ht="15.75" customHeight="1">
      <c r="A60" s="13" t="s">
        <v>1443</v>
      </c>
      <c r="B60" s="13" t="s">
        <v>94</v>
      </c>
      <c r="C60" s="13" t="s">
        <v>46</v>
      </c>
      <c r="D60" s="13"/>
      <c r="E60" s="13"/>
      <c r="F60" s="13" t="s">
        <v>52</v>
      </c>
      <c r="G60" s="13" t="s">
        <v>1447</v>
      </c>
      <c r="H60" s="13"/>
      <c r="I60" s="13" t="str">
        <f>+33 7 83 26 83 27</f>
        <v>#ERROR!</v>
      </c>
      <c r="J60" s="19" t="s">
        <v>1459</v>
      </c>
      <c r="L60" s="13"/>
      <c r="M60" s="13"/>
      <c r="N60" s="13"/>
      <c r="O60" s="13" t="s">
        <v>92</v>
      </c>
    </row>
    <row r="61" ht="15.75" customHeight="1">
      <c r="A61" s="13" t="s">
        <v>1495</v>
      </c>
      <c r="B61" s="13" t="s">
        <v>94</v>
      </c>
      <c r="C61" s="13" t="s">
        <v>46</v>
      </c>
      <c r="D61" s="13" t="s">
        <v>1498</v>
      </c>
      <c r="E61" s="13">
        <v>35160.0</v>
      </c>
      <c r="F61" s="13" t="s">
        <v>52</v>
      </c>
      <c r="G61" s="13" t="s">
        <v>1502</v>
      </c>
      <c r="H61" s="13"/>
      <c r="I61" s="13" t="str">
        <f>+33 2 99 07 95 78</f>
        <v>#ERROR!</v>
      </c>
      <c r="J61" s="19" t="s">
        <v>1518</v>
      </c>
      <c r="L61" s="13"/>
      <c r="M61" s="13"/>
      <c r="N61" s="13"/>
      <c r="O61" s="13" t="s">
        <v>92</v>
      </c>
    </row>
    <row r="62" ht="15.75" customHeight="1">
      <c r="A62" s="13" t="s">
        <v>1541</v>
      </c>
      <c r="B62" s="13" t="s">
        <v>94</v>
      </c>
      <c r="C62" s="13" t="s">
        <v>46</v>
      </c>
      <c r="D62" s="13"/>
      <c r="E62" s="13"/>
      <c r="F62" s="13" t="s">
        <v>52</v>
      </c>
      <c r="G62" s="13" t="s">
        <v>1546</v>
      </c>
      <c r="H62" s="13"/>
      <c r="I62" s="13" t="str">
        <f>+33 2 99 88 53 97</f>
        <v>#ERROR!</v>
      </c>
      <c r="J62" s="19" t="s">
        <v>1562</v>
      </c>
      <c r="K62" s="13"/>
      <c r="L62" s="13"/>
      <c r="M62" s="13"/>
      <c r="N62" s="13"/>
      <c r="O62" s="13" t="s">
        <v>92</v>
      </c>
    </row>
    <row r="63" ht="15.75" customHeight="1">
      <c r="A63" s="13" t="s">
        <v>1592</v>
      </c>
      <c r="B63" s="13" t="s">
        <v>94</v>
      </c>
      <c r="C63" s="13" t="s">
        <v>46</v>
      </c>
      <c r="D63" s="13"/>
      <c r="E63" s="13"/>
      <c r="F63" s="13" t="s">
        <v>52</v>
      </c>
      <c r="G63" s="13" t="s">
        <v>1597</v>
      </c>
      <c r="H63" s="13"/>
      <c r="I63" s="13" t="str">
        <f>+33 6 64 81 30 57</f>
        <v>#ERROR!</v>
      </c>
      <c r="J63" s="19" t="s">
        <v>1607</v>
      </c>
      <c r="L63" s="13"/>
      <c r="M63" s="13"/>
      <c r="N63" s="13"/>
      <c r="O63" s="13" t="s">
        <v>92</v>
      </c>
    </row>
    <row r="64" ht="15.75" customHeight="1">
      <c r="A64" s="13" t="s">
        <v>1641</v>
      </c>
      <c r="B64" s="13" t="s">
        <v>94</v>
      </c>
      <c r="C64" s="13" t="s">
        <v>46</v>
      </c>
      <c r="D64" s="13"/>
      <c r="E64" s="13"/>
      <c r="F64" s="13" t="s">
        <v>52</v>
      </c>
      <c r="G64" s="13" t="s">
        <v>1646</v>
      </c>
      <c r="H64" s="13"/>
      <c r="I64" s="13" t="str">
        <f>+33 2 99 20 89 43</f>
        <v>#ERROR!</v>
      </c>
      <c r="J64" s="13"/>
      <c r="K64" s="13"/>
      <c r="L64" s="13"/>
      <c r="M64" s="13"/>
      <c r="N64" s="13"/>
      <c r="O64" s="13" t="s">
        <v>92</v>
      </c>
    </row>
    <row r="65" ht="15.75" customHeight="1">
      <c r="A65" s="13" t="s">
        <v>1656</v>
      </c>
      <c r="B65" s="13" t="s">
        <v>94</v>
      </c>
      <c r="C65" s="13" t="s">
        <v>46</v>
      </c>
      <c r="D65" s="13" t="s">
        <v>1659</v>
      </c>
      <c r="E65" s="13">
        <v>35132.0</v>
      </c>
      <c r="F65" s="13" t="s">
        <v>52</v>
      </c>
      <c r="G65" s="13" t="s">
        <v>1662</v>
      </c>
      <c r="H65" s="13"/>
      <c r="I65" s="13">
        <f>+33624582100</f>
        <v>33624582100</v>
      </c>
      <c r="J65" s="19" t="s">
        <v>1686</v>
      </c>
      <c r="K65" s="13"/>
      <c r="L65" s="13"/>
      <c r="M65" s="13"/>
      <c r="N65" s="13"/>
      <c r="O65" s="13" t="s">
        <v>92</v>
      </c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5.75" customHeight="1">
      <c r="A67" s="13" t="s">
        <v>1710</v>
      </c>
      <c r="B67" s="13" t="s">
        <v>94</v>
      </c>
      <c r="C67" s="13" t="s">
        <v>46</v>
      </c>
      <c r="D67" s="13"/>
      <c r="E67" s="13">
        <v>53160.0</v>
      </c>
      <c r="F67" s="13" t="s">
        <v>37</v>
      </c>
      <c r="G67" s="13" t="s">
        <v>1713</v>
      </c>
      <c r="H67" s="13"/>
      <c r="I67" s="13" t="str">
        <f>+33 2 43 58 54 06</f>
        <v>#ERROR!</v>
      </c>
      <c r="J67" s="19" t="s">
        <v>1720</v>
      </c>
      <c r="L67" s="13"/>
      <c r="M67" s="13"/>
      <c r="N67" s="13"/>
      <c r="O67" s="13" t="s">
        <v>92</v>
      </c>
    </row>
    <row r="68" ht="15.75" customHeight="1">
      <c r="A68" s="13" t="s">
        <v>1741</v>
      </c>
      <c r="B68" s="13" t="s">
        <v>94</v>
      </c>
      <c r="C68" s="13" t="s">
        <v>46</v>
      </c>
      <c r="D68" s="13" t="s">
        <v>1744</v>
      </c>
      <c r="E68" s="13">
        <v>53160.0</v>
      </c>
      <c r="F68" s="13" t="s">
        <v>37</v>
      </c>
      <c r="G68" s="13" t="s">
        <v>1746</v>
      </c>
      <c r="H68" s="13"/>
      <c r="I68" s="13" t="s">
        <v>1747</v>
      </c>
      <c r="J68" s="13"/>
      <c r="K68" s="13"/>
      <c r="L68" s="13"/>
      <c r="M68" s="13"/>
      <c r="N68" s="13"/>
      <c r="O68" s="13" t="s">
        <v>64</v>
      </c>
    </row>
    <row r="69" ht="15.75" customHeight="1">
      <c r="A69" s="13" t="s">
        <v>1750</v>
      </c>
      <c r="B69" s="13" t="s">
        <v>94</v>
      </c>
      <c r="C69" s="13" t="s">
        <v>46</v>
      </c>
      <c r="D69" s="13" t="s">
        <v>1752</v>
      </c>
      <c r="E69" s="13">
        <v>53200.0</v>
      </c>
      <c r="F69" s="13" t="s">
        <v>37</v>
      </c>
      <c r="G69" s="13" t="s">
        <v>1754</v>
      </c>
      <c r="I69" s="13" t="s">
        <v>1755</v>
      </c>
      <c r="J69" s="13"/>
      <c r="K69" s="13"/>
      <c r="L69" s="13"/>
      <c r="M69" s="13"/>
      <c r="N69" s="13"/>
      <c r="O69" s="13" t="s">
        <v>64</v>
      </c>
    </row>
    <row r="70" ht="15.75" customHeight="1">
      <c r="A70" s="13" t="s">
        <v>1756</v>
      </c>
      <c r="B70" s="13" t="s">
        <v>94</v>
      </c>
      <c r="C70" s="13" t="s">
        <v>46</v>
      </c>
      <c r="D70" s="13" t="s">
        <v>1422</v>
      </c>
      <c r="E70" s="13">
        <v>53000.0</v>
      </c>
      <c r="F70" s="13" t="s">
        <v>37</v>
      </c>
      <c r="G70" s="13" t="s">
        <v>1757</v>
      </c>
      <c r="H70" s="13"/>
      <c r="I70" s="13" t="s">
        <v>1758</v>
      </c>
      <c r="J70" s="13"/>
      <c r="K70" s="13" t="s">
        <v>1759</v>
      </c>
      <c r="L70" s="13" t="s">
        <v>1760</v>
      </c>
      <c r="M70" s="13">
        <v>2009.0</v>
      </c>
      <c r="N70" s="13"/>
      <c r="O70" s="13" t="s">
        <v>64</v>
      </c>
    </row>
    <row r="71" ht="15.75" customHeight="1">
      <c r="A71" s="13" t="s">
        <v>1763</v>
      </c>
      <c r="B71" s="13" t="s">
        <v>94</v>
      </c>
      <c r="C71" s="13" t="s">
        <v>46</v>
      </c>
      <c r="D71" s="13" t="s">
        <v>1764</v>
      </c>
      <c r="E71" s="13">
        <v>53440.0</v>
      </c>
      <c r="F71" s="13" t="s">
        <v>37</v>
      </c>
      <c r="G71" s="13" t="s">
        <v>1765</v>
      </c>
      <c r="H71" s="13"/>
      <c r="I71" s="13"/>
      <c r="J71" s="13"/>
      <c r="K71" s="13" t="s">
        <v>1768</v>
      </c>
      <c r="L71" s="13" t="s">
        <v>1770</v>
      </c>
      <c r="M71" s="13">
        <v>2014.0</v>
      </c>
      <c r="N71" s="13"/>
      <c r="O71" s="13" t="s">
        <v>64</v>
      </c>
    </row>
    <row r="72" ht="15.75" customHeight="1">
      <c r="A72" s="13" t="s">
        <v>1773</v>
      </c>
      <c r="B72" s="13" t="s">
        <v>94</v>
      </c>
      <c r="C72" s="13" t="s">
        <v>46</v>
      </c>
      <c r="D72" s="13" t="s">
        <v>1405</v>
      </c>
      <c r="E72" s="13">
        <v>53960.0</v>
      </c>
      <c r="F72" s="13" t="s">
        <v>37</v>
      </c>
      <c r="G72" s="13" t="s">
        <v>1778</v>
      </c>
      <c r="H72" s="13"/>
      <c r="I72" s="13" t="s">
        <v>1779</v>
      </c>
      <c r="J72" s="13"/>
      <c r="K72" s="13"/>
      <c r="L72" s="13"/>
      <c r="M72" s="13"/>
      <c r="N72" s="13"/>
      <c r="O72" s="13" t="s">
        <v>64</v>
      </c>
    </row>
    <row r="73" ht="15.75" customHeight="1">
      <c r="A73" s="13" t="s">
        <v>1782</v>
      </c>
      <c r="B73" s="13" t="s">
        <v>94</v>
      </c>
      <c r="C73" s="13" t="s">
        <v>46</v>
      </c>
      <c r="D73" s="13" t="s">
        <v>1784</v>
      </c>
      <c r="E73" s="13">
        <v>53400.0</v>
      </c>
      <c r="F73" s="13" t="s">
        <v>37</v>
      </c>
      <c r="G73" s="13" t="s">
        <v>1785</v>
      </c>
      <c r="H73" s="13"/>
      <c r="I73" s="13" t="s">
        <v>1786</v>
      </c>
      <c r="J73" s="13"/>
      <c r="K73" s="13"/>
      <c r="L73" s="13"/>
      <c r="M73" s="13"/>
      <c r="N73" s="13" t="s">
        <v>1787</v>
      </c>
      <c r="O73" s="13" t="s">
        <v>64</v>
      </c>
    </row>
    <row r="74" ht="15.75" customHeight="1">
      <c r="A74" s="13" t="s">
        <v>1789</v>
      </c>
      <c r="B74" s="13" t="s">
        <v>94</v>
      </c>
      <c r="C74" s="13" t="s">
        <v>46</v>
      </c>
      <c r="D74" s="13" t="s">
        <v>1791</v>
      </c>
      <c r="E74" s="13">
        <v>53240.0</v>
      </c>
      <c r="F74" s="13" t="s">
        <v>37</v>
      </c>
      <c r="G74" s="13" t="s">
        <v>1792</v>
      </c>
      <c r="H74" s="13"/>
      <c r="I74" s="13" t="s">
        <v>1794</v>
      </c>
      <c r="J74" s="13"/>
      <c r="K74" s="13"/>
      <c r="L74" s="13"/>
      <c r="M74" s="13"/>
      <c r="N74" s="13"/>
      <c r="O74" s="13" t="s">
        <v>64</v>
      </c>
    </row>
    <row r="75" ht="15.75" customHeight="1">
      <c r="A75" s="13" t="s">
        <v>1798</v>
      </c>
      <c r="B75" s="13" t="s">
        <v>94</v>
      </c>
      <c r="C75" s="13" t="s">
        <v>46</v>
      </c>
      <c r="D75" s="13" t="s">
        <v>1801</v>
      </c>
      <c r="E75" s="13">
        <v>53100.0</v>
      </c>
      <c r="F75" s="13" t="s">
        <v>37</v>
      </c>
      <c r="G75" s="13" t="s">
        <v>1804</v>
      </c>
      <c r="H75" s="13"/>
      <c r="I75" s="13" t="s">
        <v>1805</v>
      </c>
      <c r="J75" s="13"/>
      <c r="K75" s="13"/>
      <c r="L75" s="13"/>
      <c r="M75" s="13"/>
      <c r="N75" s="13"/>
      <c r="O75" s="13" t="s">
        <v>64</v>
      </c>
    </row>
    <row r="76" ht="15.75" customHeight="1">
      <c r="A76" s="13" t="s">
        <v>1807</v>
      </c>
      <c r="B76" s="13" t="s">
        <v>94</v>
      </c>
      <c r="C76" s="13" t="s">
        <v>46</v>
      </c>
      <c r="D76" s="13" t="s">
        <v>1810</v>
      </c>
      <c r="E76" s="13">
        <v>53380.0</v>
      </c>
      <c r="F76" s="13" t="s">
        <v>37</v>
      </c>
      <c r="G76" s="13" t="s">
        <v>1813</v>
      </c>
      <c r="H76" s="13"/>
      <c r="I76" s="13" t="s">
        <v>1815</v>
      </c>
      <c r="J76" s="13"/>
      <c r="K76" s="13"/>
      <c r="L76" s="13"/>
      <c r="M76" s="13"/>
      <c r="N76" s="13"/>
      <c r="O76" s="13" t="s">
        <v>64</v>
      </c>
    </row>
    <row r="77" ht="15.75" customHeight="1">
      <c r="A77" s="13" t="s">
        <v>1819</v>
      </c>
      <c r="B77" s="13" t="s">
        <v>94</v>
      </c>
      <c r="C77" s="13" t="s">
        <v>46</v>
      </c>
      <c r="D77" s="13" t="s">
        <v>1422</v>
      </c>
      <c r="E77" s="13">
        <v>53000.0</v>
      </c>
      <c r="F77" s="13" t="s">
        <v>37</v>
      </c>
      <c r="G77" s="13" t="s">
        <v>1825</v>
      </c>
      <c r="H77" s="13"/>
      <c r="I77" s="13" t="s">
        <v>1826</v>
      </c>
      <c r="J77" s="13"/>
      <c r="K77" s="13"/>
      <c r="L77" s="13"/>
      <c r="M77" s="13"/>
      <c r="N77" s="13"/>
      <c r="O77" s="13" t="s">
        <v>64</v>
      </c>
    </row>
    <row r="78" ht="15.75" customHeight="1">
      <c r="A78" s="13" t="s">
        <v>1830</v>
      </c>
      <c r="B78" s="13" t="s">
        <v>94</v>
      </c>
      <c r="C78" s="13" t="s">
        <v>46</v>
      </c>
      <c r="D78" s="13" t="s">
        <v>1422</v>
      </c>
      <c r="E78" s="13">
        <v>53000.0</v>
      </c>
      <c r="F78" s="13" t="s">
        <v>37</v>
      </c>
      <c r="G78" s="13" t="s">
        <v>1834</v>
      </c>
      <c r="H78" s="13"/>
      <c r="I78" s="13" t="s">
        <v>1836</v>
      </c>
      <c r="J78" s="13"/>
      <c r="K78" s="13" t="s">
        <v>1837</v>
      </c>
      <c r="L78" s="13" t="s">
        <v>1839</v>
      </c>
      <c r="M78" s="13">
        <v>2015.0</v>
      </c>
      <c r="N78" s="13"/>
      <c r="O78" s="13" t="s">
        <v>64</v>
      </c>
    </row>
    <row r="79" ht="15.75" customHeight="1">
      <c r="A79" s="13" t="s">
        <v>1841</v>
      </c>
      <c r="B79" s="13" t="s">
        <v>94</v>
      </c>
      <c r="C79" s="13" t="s">
        <v>46</v>
      </c>
      <c r="D79" s="13" t="s">
        <v>1752</v>
      </c>
      <c r="E79" s="13">
        <v>53200.0</v>
      </c>
      <c r="F79" s="13" t="s">
        <v>37</v>
      </c>
      <c r="G79" s="13" t="s">
        <v>1844</v>
      </c>
      <c r="H79" s="13"/>
      <c r="I79" s="13"/>
      <c r="J79" s="13"/>
      <c r="K79" s="13" t="s">
        <v>1846</v>
      </c>
      <c r="L79" s="13" t="s">
        <v>1848</v>
      </c>
      <c r="M79" s="13">
        <v>2024.0</v>
      </c>
      <c r="N79" s="13"/>
      <c r="O79" s="13" t="s">
        <v>64</v>
      </c>
    </row>
    <row r="80" ht="15.75" customHeight="1">
      <c r="A80" s="13" t="s">
        <v>1853</v>
      </c>
      <c r="B80" s="13" t="s">
        <v>94</v>
      </c>
      <c r="C80" s="13" t="s">
        <v>46</v>
      </c>
      <c r="D80" s="13" t="s">
        <v>1855</v>
      </c>
      <c r="E80" s="13">
        <v>53940.0</v>
      </c>
      <c r="F80" s="13" t="s">
        <v>37</v>
      </c>
      <c r="G80" s="13" t="s">
        <v>1857</v>
      </c>
      <c r="H80" s="13"/>
      <c r="I80" s="13">
        <v>2.43660251E8</v>
      </c>
      <c r="J80" s="13"/>
      <c r="K80" s="13" t="s">
        <v>1861</v>
      </c>
      <c r="L80" s="13" t="s">
        <v>1863</v>
      </c>
      <c r="M80" s="13">
        <v>2024.0</v>
      </c>
      <c r="N80" s="13"/>
      <c r="O80" s="13" t="s">
        <v>64</v>
      </c>
    </row>
    <row r="81" ht="15.75" customHeight="1">
      <c r="A81" s="13" t="s">
        <v>1865</v>
      </c>
      <c r="B81" s="13" t="s">
        <v>94</v>
      </c>
      <c r="C81" s="13" t="s">
        <v>46</v>
      </c>
      <c r="D81" s="13" t="s">
        <v>1866</v>
      </c>
      <c r="E81" s="13">
        <v>53470.0</v>
      </c>
      <c r="F81" s="13" t="s">
        <v>37</v>
      </c>
      <c r="G81" s="13" t="s">
        <v>1869</v>
      </c>
      <c r="H81" s="13"/>
      <c r="I81" s="13"/>
      <c r="J81" s="13"/>
      <c r="K81" s="13"/>
      <c r="L81" s="13"/>
      <c r="M81" s="13"/>
      <c r="N81" s="13"/>
      <c r="O81" s="13" t="s">
        <v>64</v>
      </c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5.75" customHeight="1">
      <c r="A83" s="13" t="s">
        <v>1876</v>
      </c>
      <c r="B83" s="13" t="s">
        <v>94</v>
      </c>
      <c r="C83" s="13" t="s">
        <v>46</v>
      </c>
      <c r="D83" s="13" t="s">
        <v>1879</v>
      </c>
      <c r="E83" s="13">
        <v>85100.0</v>
      </c>
      <c r="F83" s="13" t="s">
        <v>47</v>
      </c>
      <c r="G83" s="13" t="s">
        <v>1881</v>
      </c>
      <c r="H83" s="13"/>
      <c r="I83" s="13" t="str">
        <f>+33 9 52 87 96 17</f>
        <v>#ERROR!</v>
      </c>
      <c r="J83" s="19" t="s">
        <v>1886</v>
      </c>
      <c r="K83" s="13" t="s">
        <v>1899</v>
      </c>
      <c r="L83" s="13" t="s">
        <v>1901</v>
      </c>
      <c r="M83" s="13">
        <v>2020.0</v>
      </c>
      <c r="N83" s="13"/>
      <c r="O83" s="13" t="s">
        <v>92</v>
      </c>
    </row>
    <row r="84" ht="15.75" customHeight="1">
      <c r="A84" s="13" t="s">
        <v>1903</v>
      </c>
      <c r="B84" s="13"/>
      <c r="C84" s="13" t="s">
        <v>46</v>
      </c>
      <c r="D84" s="13" t="s">
        <v>1905</v>
      </c>
      <c r="E84" s="13">
        <v>85310.0</v>
      </c>
      <c r="F84" s="13" t="s">
        <v>47</v>
      </c>
      <c r="G84" s="13" t="s">
        <v>1906</v>
      </c>
      <c r="H84" s="13"/>
      <c r="I84" s="13" t="s">
        <v>1908</v>
      </c>
      <c r="J84" s="13"/>
      <c r="K84" s="13"/>
      <c r="L84" s="13"/>
      <c r="M84" s="13"/>
      <c r="N84" s="13" t="s">
        <v>1910</v>
      </c>
      <c r="O84" s="13" t="s">
        <v>1911</v>
      </c>
    </row>
    <row r="85" ht="15.75" customHeight="1">
      <c r="A85" s="13" t="s">
        <v>1913</v>
      </c>
      <c r="B85" s="13" t="s">
        <v>94</v>
      </c>
      <c r="C85" s="13" t="s">
        <v>46</v>
      </c>
      <c r="D85" s="13" t="s">
        <v>1915</v>
      </c>
      <c r="E85" s="13">
        <v>85700.0</v>
      </c>
      <c r="F85" s="13" t="s">
        <v>47</v>
      </c>
      <c r="G85" s="13" t="s">
        <v>1917</v>
      </c>
      <c r="H85" s="13"/>
      <c r="I85" s="13" t="str">
        <f>+33 6 23403346</f>
        <v>#ERROR!</v>
      </c>
      <c r="J85" s="19" t="s">
        <v>1919</v>
      </c>
      <c r="K85" s="13" t="s">
        <v>1943</v>
      </c>
      <c r="L85" s="13" t="s">
        <v>1944</v>
      </c>
      <c r="M85" s="13">
        <v>2013.0</v>
      </c>
      <c r="N85" s="13"/>
      <c r="O85" s="13" t="s">
        <v>92</v>
      </c>
    </row>
    <row r="86" ht="15.75" customHeight="1">
      <c r="A86" s="13" t="s">
        <v>1947</v>
      </c>
      <c r="B86" s="13" t="s">
        <v>94</v>
      </c>
      <c r="C86" s="13" t="s">
        <v>46</v>
      </c>
      <c r="D86" s="13" t="s">
        <v>1949</v>
      </c>
      <c r="E86" s="13">
        <v>85000.0</v>
      </c>
      <c r="F86" s="13" t="s">
        <v>47</v>
      </c>
      <c r="G86" s="13" t="s">
        <v>1951</v>
      </c>
      <c r="H86" s="13"/>
      <c r="I86" s="13" t="str">
        <f>+33 9 82 61 78 88</f>
        <v>#ERROR!</v>
      </c>
      <c r="J86" s="13"/>
      <c r="K86" s="13" t="s">
        <v>1961</v>
      </c>
      <c r="L86" s="13" t="s">
        <v>1963</v>
      </c>
      <c r="M86" s="13">
        <v>2021.0</v>
      </c>
      <c r="N86" s="13"/>
      <c r="O86" s="13" t="s">
        <v>92</v>
      </c>
    </row>
    <row r="87" ht="15.75" customHeight="1">
      <c r="A87" s="13" t="s">
        <v>1964</v>
      </c>
      <c r="B87" s="13" t="s">
        <v>94</v>
      </c>
      <c r="C87" s="13" t="s">
        <v>46</v>
      </c>
      <c r="D87" s="13" t="s">
        <v>1879</v>
      </c>
      <c r="E87" s="13">
        <v>85100.0</v>
      </c>
      <c r="F87" s="13" t="s">
        <v>47</v>
      </c>
      <c r="G87" s="13" t="s">
        <v>1966</v>
      </c>
      <c r="H87" s="13"/>
      <c r="I87" s="13" t="str">
        <f>+332 51 95 77 13</f>
        <v>#ERROR!</v>
      </c>
      <c r="J87" s="19" t="s">
        <v>1973</v>
      </c>
      <c r="K87" s="13" t="s">
        <v>1991</v>
      </c>
      <c r="L87" s="13" t="s">
        <v>1992</v>
      </c>
      <c r="M87" s="13">
        <v>2023.0</v>
      </c>
      <c r="N87" s="13"/>
      <c r="O87" s="13" t="s">
        <v>92</v>
      </c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5.75" customHeight="1">
      <c r="A89" s="13" t="s">
        <v>2001</v>
      </c>
      <c r="B89" s="13" t="s">
        <v>94</v>
      </c>
      <c r="C89" s="13" t="s">
        <v>46</v>
      </c>
      <c r="D89" s="13" t="s">
        <v>2002</v>
      </c>
      <c r="E89" s="13">
        <v>56450.0</v>
      </c>
      <c r="F89" s="13" t="s">
        <v>42</v>
      </c>
      <c r="G89" s="13" t="s">
        <v>2005</v>
      </c>
      <c r="H89" s="13"/>
      <c r="I89" s="13" t="s">
        <v>2006</v>
      </c>
      <c r="J89" s="13"/>
      <c r="K89" s="13"/>
      <c r="L89" s="13"/>
      <c r="M89" s="13"/>
      <c r="N89" s="13" t="s">
        <v>2008</v>
      </c>
      <c r="O89" s="13" t="s">
        <v>1291</v>
      </c>
    </row>
    <row r="90" ht="15.75" customHeight="1">
      <c r="A90" s="13" t="s">
        <v>2012</v>
      </c>
      <c r="B90" s="13" t="s">
        <v>94</v>
      </c>
      <c r="C90" s="13" t="s">
        <v>46</v>
      </c>
      <c r="D90" s="13"/>
      <c r="E90" s="13"/>
      <c r="F90" s="13" t="s">
        <v>42</v>
      </c>
      <c r="G90" s="13" t="s">
        <v>2014</v>
      </c>
      <c r="H90" s="13"/>
      <c r="I90" s="13" t="str">
        <f>+33 7 62 02 35 11</f>
        <v>#ERROR!</v>
      </c>
      <c r="J90" s="19" t="s">
        <v>2022</v>
      </c>
      <c r="K90" s="13" t="s">
        <v>2053</v>
      </c>
      <c r="L90" s="13" t="s">
        <v>2055</v>
      </c>
      <c r="M90" s="13">
        <v>2018.0</v>
      </c>
      <c r="N90" s="13"/>
      <c r="O90" s="13" t="s">
        <v>92</v>
      </c>
    </row>
    <row r="91" ht="15.75" customHeight="1">
      <c r="A91" s="13" t="s">
        <v>2059</v>
      </c>
      <c r="B91" s="13" t="s">
        <v>94</v>
      </c>
      <c r="C91" s="13" t="s">
        <v>46</v>
      </c>
      <c r="D91" s="13" t="s">
        <v>2062</v>
      </c>
      <c r="E91" s="13">
        <v>56000.0</v>
      </c>
      <c r="F91" s="13" t="s">
        <v>42</v>
      </c>
      <c r="G91" s="13" t="s">
        <v>2066</v>
      </c>
      <c r="H91" s="13"/>
      <c r="I91" s="13" t="s">
        <v>2069</v>
      </c>
      <c r="J91" s="13"/>
      <c r="K91" s="13"/>
      <c r="L91" s="13"/>
      <c r="M91" s="13"/>
      <c r="N91" s="13" t="s">
        <v>2071</v>
      </c>
      <c r="O91" s="13" t="s">
        <v>1291</v>
      </c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63:K63"/>
    <mergeCell ref="J67:K67"/>
    <mergeCell ref="G69:H69"/>
    <mergeCell ref="G8:H8"/>
    <mergeCell ref="J21:K21"/>
    <mergeCell ref="J29:K29"/>
    <mergeCell ref="L54:M54"/>
    <mergeCell ref="J58:K58"/>
    <mergeCell ref="J60:K60"/>
    <mergeCell ref="J61:K61"/>
  </mergeCells>
  <hyperlinks>
    <hyperlink r:id="rId1" ref="J2"/>
    <hyperlink r:id="rId2" ref="J5"/>
    <hyperlink r:id="rId3" ref="J6"/>
    <hyperlink r:id="rId4" ref="J7"/>
    <hyperlink r:id="rId5" ref="J9"/>
    <hyperlink r:id="rId6" ref="J12"/>
    <hyperlink r:id="rId7" ref="J13"/>
    <hyperlink r:id="rId8" ref="J14"/>
    <hyperlink r:id="rId9" ref="J15"/>
    <hyperlink r:id="rId10" ref="J16"/>
    <hyperlink r:id="rId11" ref="J21"/>
    <hyperlink r:id="rId12" ref="J25"/>
    <hyperlink r:id="rId13" ref="J29"/>
    <hyperlink r:id="rId14" ref="J36"/>
    <hyperlink r:id="rId15" ref="J51"/>
    <hyperlink r:id="rId16" ref="J58"/>
    <hyperlink r:id="rId17" ref="J59"/>
    <hyperlink r:id="rId18" ref="J60"/>
    <hyperlink r:id="rId19" ref="J61"/>
    <hyperlink r:id="rId20" ref="J62"/>
    <hyperlink r:id="rId21" ref="J63"/>
    <hyperlink r:id="rId22" ref="J65"/>
    <hyperlink r:id="rId23" ref="J67"/>
    <hyperlink r:id="rId24" ref="J83"/>
    <hyperlink r:id="rId25" ref="J85"/>
    <hyperlink r:id="rId26" ref="J87"/>
    <hyperlink r:id="rId27" ref="J90"/>
  </hyperlinks>
  <printOptions/>
  <pageMargins bottom="1.0" footer="0.0" header="0.0" left="0.75" right="0.75" top="1.0"/>
  <pageSetup orientation="landscape"/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3" width="30.0"/>
    <col customWidth="1" min="4" max="4" width="26.0"/>
    <col customWidth="1" min="5" max="5" width="30.0"/>
    <col customWidth="1" min="6" max="6" width="8.0"/>
    <col customWidth="1" min="7" max="7" width="38.0"/>
    <col customWidth="1" min="8" max="8" width="14.0"/>
  </cols>
  <sheetData>
    <row r="1" ht="15.75" customHeight="1">
      <c r="A1" s="8" t="s">
        <v>3</v>
      </c>
      <c r="B1" s="8" t="s">
        <v>5</v>
      </c>
      <c r="C1" s="8" t="s">
        <v>9</v>
      </c>
      <c r="D1" s="8" t="s">
        <v>12</v>
      </c>
      <c r="E1" s="8" t="s">
        <v>14</v>
      </c>
      <c r="F1" s="8" t="s">
        <v>17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27</v>
      </c>
      <c r="L1" s="8" t="s">
        <v>29</v>
      </c>
      <c r="M1" s="8" t="s">
        <v>31</v>
      </c>
      <c r="N1" s="8" t="s">
        <v>34</v>
      </c>
      <c r="O1" s="8" t="s">
        <v>35</v>
      </c>
    </row>
    <row r="2" ht="15.75" customHeight="1">
      <c r="A2" s="15" t="s">
        <v>587</v>
      </c>
      <c r="B2" s="15" t="s">
        <v>589</v>
      </c>
      <c r="C2" s="15" t="s">
        <v>591</v>
      </c>
      <c r="D2" s="15"/>
      <c r="E2" s="15"/>
      <c r="F2" s="15" t="s">
        <v>7</v>
      </c>
      <c r="G2" s="15" t="s">
        <v>596</v>
      </c>
      <c r="H2" s="15"/>
      <c r="I2" s="15" t="s">
        <v>599</v>
      </c>
      <c r="J2" s="25" t="s">
        <v>602</v>
      </c>
      <c r="K2" s="15"/>
      <c r="L2" s="15"/>
      <c r="M2" s="15"/>
      <c r="N2" s="15"/>
      <c r="O2" s="15" t="s">
        <v>92</v>
      </c>
    </row>
    <row r="3" ht="15.75" customHeight="1">
      <c r="A3" s="15" t="s">
        <v>630</v>
      </c>
      <c r="B3" s="15" t="s">
        <v>589</v>
      </c>
      <c r="C3" s="15" t="s">
        <v>591</v>
      </c>
      <c r="D3" s="15"/>
      <c r="E3" s="15"/>
      <c r="F3" s="15" t="s">
        <v>7</v>
      </c>
      <c r="G3" s="15" t="s">
        <v>637</v>
      </c>
      <c r="H3" s="15"/>
      <c r="I3" s="15" t="str">
        <f>+336 47 17 44 37</f>
        <v>#ERROR!</v>
      </c>
      <c r="J3" s="25" t="s">
        <v>658</v>
      </c>
      <c r="K3" s="15"/>
      <c r="L3" s="15"/>
      <c r="M3" s="15"/>
      <c r="N3" s="15"/>
      <c r="O3" s="15" t="s">
        <v>92</v>
      </c>
    </row>
    <row r="4" ht="15.75" customHeight="1">
      <c r="A4" s="15" t="s">
        <v>692</v>
      </c>
      <c r="B4" s="15" t="s">
        <v>589</v>
      </c>
      <c r="C4" s="15" t="s">
        <v>591</v>
      </c>
      <c r="D4" s="15"/>
      <c r="E4" s="15"/>
      <c r="F4" s="15" t="s">
        <v>7</v>
      </c>
      <c r="G4" s="15" t="s">
        <v>700</v>
      </c>
      <c r="H4" s="15"/>
      <c r="I4" s="15" t="str">
        <f>+33 2 40 20 06 27</f>
        <v>#ERROR!</v>
      </c>
      <c r="J4" s="15"/>
      <c r="K4" s="15"/>
      <c r="L4" s="15"/>
      <c r="M4" s="15"/>
      <c r="N4" s="15"/>
      <c r="O4" s="15" t="s">
        <v>92</v>
      </c>
    </row>
    <row r="5" ht="15.75" customHeight="1">
      <c r="A5" s="15" t="s">
        <v>709</v>
      </c>
      <c r="B5" s="15" t="s">
        <v>589</v>
      </c>
      <c r="C5" s="15" t="s">
        <v>591</v>
      </c>
      <c r="D5" s="15"/>
      <c r="E5" s="15"/>
      <c r="F5" s="15" t="s">
        <v>7</v>
      </c>
      <c r="G5" s="15" t="s">
        <v>711</v>
      </c>
      <c r="H5" s="15"/>
      <c r="I5" s="15" t="str">
        <f>+33 6 82 23 30 05</f>
        <v>#ERROR!</v>
      </c>
      <c r="J5" s="25" t="s">
        <v>720</v>
      </c>
      <c r="K5" s="15"/>
      <c r="L5" s="15"/>
      <c r="M5" s="15"/>
      <c r="N5" s="15"/>
      <c r="O5" s="15" t="s">
        <v>92</v>
      </c>
    </row>
    <row r="6" ht="15.75" customHeight="1">
      <c r="A6" s="15" t="s">
        <v>751</v>
      </c>
      <c r="B6" s="15" t="s">
        <v>589</v>
      </c>
      <c r="C6" s="15" t="s">
        <v>591</v>
      </c>
      <c r="D6" s="15"/>
      <c r="E6" s="15">
        <v>44700.0</v>
      </c>
      <c r="F6" s="15" t="s">
        <v>7</v>
      </c>
      <c r="G6" s="15" t="s">
        <v>755</v>
      </c>
      <c r="H6" s="15"/>
      <c r="I6" s="15" t="str">
        <f>+33 2 28 07 82 50</f>
        <v>#ERROR!</v>
      </c>
      <c r="J6" s="25" t="s">
        <v>770</v>
      </c>
      <c r="K6" s="15"/>
      <c r="L6" s="15"/>
      <c r="M6" s="15"/>
      <c r="N6" s="15"/>
      <c r="O6" s="15" t="s">
        <v>92</v>
      </c>
    </row>
    <row r="7" ht="15.75" customHeight="1">
      <c r="A7" s="15" t="s">
        <v>816</v>
      </c>
      <c r="B7" s="15" t="s">
        <v>589</v>
      </c>
      <c r="C7" s="15" t="s">
        <v>591</v>
      </c>
      <c r="D7" s="15"/>
      <c r="E7" s="15"/>
      <c r="F7" s="15" t="s">
        <v>7</v>
      </c>
      <c r="G7" s="15" t="s">
        <v>818</v>
      </c>
      <c r="H7" s="15"/>
      <c r="I7" s="15" t="str">
        <f>+336 26 63 62 68</f>
        <v>#ERROR!</v>
      </c>
      <c r="J7" s="15"/>
      <c r="K7" s="15"/>
      <c r="L7" s="15"/>
      <c r="M7" s="15"/>
      <c r="N7" s="15"/>
      <c r="O7" s="15" t="s">
        <v>92</v>
      </c>
    </row>
    <row r="8" ht="15.75" customHeight="1">
      <c r="A8" s="15" t="s">
        <v>837</v>
      </c>
      <c r="B8" s="15" t="s">
        <v>589</v>
      </c>
      <c r="C8" s="15" t="s">
        <v>591</v>
      </c>
      <c r="D8" s="15"/>
      <c r="E8" s="15"/>
      <c r="F8" s="15" t="s">
        <v>7</v>
      </c>
      <c r="G8" s="15" t="s">
        <v>843</v>
      </c>
      <c r="H8" s="15"/>
      <c r="I8" s="15" t="str">
        <f>+33 6 78 18 28 14</f>
        <v>#ERROR!</v>
      </c>
      <c r="J8" s="25" t="s">
        <v>855</v>
      </c>
      <c r="K8" s="15"/>
      <c r="L8" s="15"/>
      <c r="M8" s="15"/>
      <c r="N8" s="15"/>
      <c r="O8" s="15" t="s">
        <v>92</v>
      </c>
    </row>
    <row r="9" ht="15.75" customHeight="1">
      <c r="A9" s="15" t="s">
        <v>886</v>
      </c>
      <c r="B9" s="15" t="s">
        <v>589</v>
      </c>
      <c r="C9" s="15" t="s">
        <v>591</v>
      </c>
      <c r="D9" s="15"/>
      <c r="E9" s="15"/>
      <c r="F9" s="15" t="s">
        <v>7</v>
      </c>
      <c r="G9" s="15" t="s">
        <v>888</v>
      </c>
      <c r="H9" s="15"/>
      <c r="I9" s="15" t="str">
        <f>+33 2 40 20 25 31</f>
        <v>#ERROR!</v>
      </c>
      <c r="J9" s="15"/>
      <c r="K9" s="15"/>
      <c r="L9" s="15"/>
      <c r="M9" s="15"/>
      <c r="N9" s="15"/>
      <c r="O9" s="15" t="s">
        <v>92</v>
      </c>
    </row>
    <row r="10" ht="15.75" customHeight="1">
      <c r="A10" s="15" t="s">
        <v>897</v>
      </c>
      <c r="B10" s="15" t="s">
        <v>589</v>
      </c>
      <c r="C10" s="15" t="s">
        <v>591</v>
      </c>
      <c r="D10" s="15"/>
      <c r="E10" s="15"/>
      <c r="F10" s="15" t="s">
        <v>7</v>
      </c>
      <c r="G10" s="15" t="s">
        <v>899</v>
      </c>
      <c r="H10" s="15"/>
      <c r="I10" s="15" t="str">
        <f>+33 2 40 72 82 48</f>
        <v>#ERROR!</v>
      </c>
      <c r="J10" s="25" t="s">
        <v>902</v>
      </c>
      <c r="K10" s="15"/>
      <c r="L10" s="15"/>
      <c r="M10" s="15"/>
      <c r="N10" s="15"/>
      <c r="O10" s="15" t="s">
        <v>92</v>
      </c>
    </row>
    <row r="11" ht="15.75" customHeight="1">
      <c r="A11" s="15" t="s">
        <v>913</v>
      </c>
      <c r="B11" s="15" t="s">
        <v>589</v>
      </c>
      <c r="C11" s="15" t="s">
        <v>591</v>
      </c>
      <c r="D11" s="15"/>
      <c r="E11" s="15"/>
      <c r="F11" s="15" t="s">
        <v>7</v>
      </c>
      <c r="G11" s="15" t="s">
        <v>915</v>
      </c>
      <c r="H11" s="15"/>
      <c r="I11" s="15" t="str">
        <f>+33 9 73 52 34 75</f>
        <v>#ERROR!</v>
      </c>
      <c r="J11" s="25" t="s">
        <v>927</v>
      </c>
      <c r="K11" s="15"/>
      <c r="L11" s="15"/>
      <c r="M11" s="15"/>
      <c r="N11" s="15"/>
      <c r="O11" s="15" t="s">
        <v>92</v>
      </c>
    </row>
    <row r="12" ht="15.75" customHeight="1">
      <c r="A12" s="15" t="s">
        <v>955</v>
      </c>
      <c r="B12" s="15" t="s">
        <v>589</v>
      </c>
      <c r="C12" s="15" t="s">
        <v>591</v>
      </c>
      <c r="D12" s="15"/>
      <c r="E12" s="15"/>
      <c r="F12" s="15" t="s">
        <v>7</v>
      </c>
      <c r="G12" s="15" t="s">
        <v>959</v>
      </c>
      <c r="H12" s="15"/>
      <c r="I12" s="15" t="str">
        <f>+33 2 53 00 21 07</f>
        <v>#ERROR!</v>
      </c>
      <c r="J12" s="15"/>
      <c r="K12" s="15"/>
      <c r="L12" s="15"/>
      <c r="M12" s="15"/>
      <c r="N12" s="15"/>
      <c r="O12" s="15" t="s">
        <v>92</v>
      </c>
    </row>
    <row r="13" ht="15.75" customHeight="1">
      <c r="A13" s="15" t="s">
        <v>977</v>
      </c>
      <c r="B13" s="15" t="s">
        <v>589</v>
      </c>
      <c r="C13" s="15" t="s">
        <v>591</v>
      </c>
      <c r="D13" s="15" t="s">
        <v>387</v>
      </c>
      <c r="E13" s="15">
        <v>44210.0</v>
      </c>
      <c r="F13" s="15" t="s">
        <v>7</v>
      </c>
      <c r="G13" s="15" t="s">
        <v>983</v>
      </c>
      <c r="H13" s="15"/>
      <c r="I13" s="15" t="str">
        <f>+33 2 51 18 08 31</f>
        <v>#ERROR!</v>
      </c>
      <c r="J13" s="25" t="s">
        <v>992</v>
      </c>
      <c r="K13" s="30"/>
      <c r="L13" s="15"/>
      <c r="M13" s="15"/>
      <c r="N13" s="15"/>
      <c r="O13" s="15" t="s">
        <v>92</v>
      </c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ht="15.75" customHeight="1">
      <c r="A15" s="15" t="s">
        <v>1025</v>
      </c>
      <c r="B15" s="15" t="s">
        <v>589</v>
      </c>
      <c r="C15" s="15" t="s">
        <v>591</v>
      </c>
      <c r="D15" s="15"/>
      <c r="E15" s="15">
        <v>49400.0</v>
      </c>
      <c r="F15" s="15" t="s">
        <v>33</v>
      </c>
      <c r="G15" s="15" t="s">
        <v>1029</v>
      </c>
      <c r="H15" s="15"/>
      <c r="I15" s="15" t="str">
        <f>+33 2 41 52 97 57</f>
        <v>#ERROR!</v>
      </c>
      <c r="J15" s="15"/>
      <c r="K15" s="15"/>
      <c r="L15" s="15"/>
      <c r="M15" s="15"/>
      <c r="N15" s="15"/>
      <c r="O15" s="15" t="s">
        <v>92</v>
      </c>
    </row>
    <row r="16" ht="15.75" customHeight="1">
      <c r="A16" s="15" t="s">
        <v>1044</v>
      </c>
      <c r="B16" s="15" t="s">
        <v>589</v>
      </c>
      <c r="C16" s="15" t="s">
        <v>591</v>
      </c>
      <c r="D16" s="15"/>
      <c r="E16" s="15"/>
      <c r="F16" s="15" t="s">
        <v>33</v>
      </c>
      <c r="G16" s="15" t="s">
        <v>1048</v>
      </c>
      <c r="H16" s="15"/>
      <c r="I16" s="15" t="str">
        <f>+33 2 41 60 34 62</f>
        <v>#ERROR!</v>
      </c>
      <c r="J16" s="25" t="s">
        <v>1061</v>
      </c>
      <c r="K16" s="15"/>
      <c r="L16" s="15"/>
      <c r="M16" s="15"/>
      <c r="N16" s="15"/>
      <c r="O16" s="15" t="s">
        <v>92</v>
      </c>
    </row>
    <row r="17" ht="15.75" customHeight="1">
      <c r="A17" s="15" t="s">
        <v>1104</v>
      </c>
      <c r="B17" s="15" t="s">
        <v>589</v>
      </c>
      <c r="C17" s="15" t="s">
        <v>591</v>
      </c>
      <c r="D17" s="15" t="s">
        <v>616</v>
      </c>
      <c r="E17" s="15">
        <v>49100.0</v>
      </c>
      <c r="F17" s="15" t="s">
        <v>33</v>
      </c>
      <c r="G17" s="15" t="s">
        <v>1110</v>
      </c>
      <c r="H17" s="15"/>
      <c r="I17" s="15">
        <f>+33983282731</f>
        <v>33983282731</v>
      </c>
      <c r="J17" s="25" t="s">
        <v>1129</v>
      </c>
      <c r="K17" s="15"/>
      <c r="L17" s="15"/>
      <c r="M17" s="15"/>
      <c r="N17" s="15"/>
      <c r="O17" s="15" t="s">
        <v>92</v>
      </c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ht="15.75" customHeight="1">
      <c r="A19" s="31" t="s">
        <v>1226</v>
      </c>
      <c r="B19" s="31" t="s">
        <v>1231</v>
      </c>
      <c r="C19" s="31" t="s">
        <v>46</v>
      </c>
      <c r="D19" s="31" t="s">
        <v>1234</v>
      </c>
      <c r="E19" s="31">
        <v>35500.0</v>
      </c>
      <c r="F19" s="31" t="s">
        <v>52</v>
      </c>
      <c r="G19" s="31" t="s">
        <v>1237</v>
      </c>
      <c r="H19" s="31"/>
      <c r="I19" s="31"/>
      <c r="J19" s="32" t="s">
        <v>1243</v>
      </c>
      <c r="K19" s="31"/>
      <c r="L19" s="31"/>
      <c r="M19" s="31"/>
      <c r="N19" s="31" t="s">
        <v>1293</v>
      </c>
      <c r="O19" s="31" t="s">
        <v>1295</v>
      </c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ht="15.75" customHeight="1">
      <c r="A21" s="15" t="s">
        <v>1314</v>
      </c>
      <c r="B21" s="15" t="s">
        <v>589</v>
      </c>
      <c r="C21" s="15" t="s">
        <v>591</v>
      </c>
      <c r="D21" s="15"/>
      <c r="E21" s="15">
        <v>85000.0</v>
      </c>
      <c r="F21" s="15" t="s">
        <v>47</v>
      </c>
      <c r="G21" s="15" t="s">
        <v>1319</v>
      </c>
      <c r="H21" s="15"/>
      <c r="I21" s="15" t="str">
        <f>+33 6 75 68 80 15</f>
        <v>#ERROR!</v>
      </c>
      <c r="J21" s="25" t="s">
        <v>1328</v>
      </c>
      <c r="K21" s="15"/>
      <c r="L21" s="15"/>
      <c r="M21" s="15"/>
      <c r="N21" s="15"/>
      <c r="O21" s="15" t="s">
        <v>92</v>
      </c>
    </row>
    <row r="22" ht="15.75" customHeight="1">
      <c r="A22" s="15" t="s">
        <v>1357</v>
      </c>
      <c r="B22" s="15" t="s">
        <v>589</v>
      </c>
      <c r="C22" s="15" t="s">
        <v>591</v>
      </c>
      <c r="D22" s="15" t="s">
        <v>1360</v>
      </c>
      <c r="E22" s="15">
        <v>85350.0</v>
      </c>
      <c r="F22" s="15" t="s">
        <v>47</v>
      </c>
      <c r="G22" s="15" t="s">
        <v>1364</v>
      </c>
      <c r="H22" s="15"/>
      <c r="I22" s="15" t="str">
        <f>+33 7 49 93 07 67</f>
        <v>#ERROR!</v>
      </c>
      <c r="J22" s="25" t="s">
        <v>1372</v>
      </c>
      <c r="K22" s="15"/>
      <c r="L22" s="15"/>
      <c r="M22" s="15"/>
      <c r="N22" s="15"/>
      <c r="O22" s="15" t="s">
        <v>92</v>
      </c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ht="15.75" customHeight="1">
      <c r="A24" s="15" t="s">
        <v>1392</v>
      </c>
      <c r="B24" s="15" t="s">
        <v>589</v>
      </c>
      <c r="C24" s="15" t="s">
        <v>591</v>
      </c>
      <c r="D24" s="15"/>
      <c r="E24" s="15"/>
      <c r="F24" s="15" t="s">
        <v>42</v>
      </c>
      <c r="G24" s="15" t="s">
        <v>1397</v>
      </c>
      <c r="H24" s="15"/>
      <c r="I24" s="15" t="str">
        <f>+33 6 22 06 21 08</f>
        <v>#ERROR!</v>
      </c>
      <c r="J24" s="15"/>
      <c r="K24" s="15"/>
      <c r="L24" s="15"/>
      <c r="M24" s="15"/>
      <c r="N24" s="15"/>
      <c r="O24" s="15" t="s">
        <v>92</v>
      </c>
    </row>
    <row r="25" ht="15.75" customHeight="1">
      <c r="A25" s="15" t="s">
        <v>1408</v>
      </c>
      <c r="B25" s="15" t="s">
        <v>589</v>
      </c>
      <c r="C25" s="15" t="s">
        <v>591</v>
      </c>
      <c r="D25" s="15"/>
      <c r="E25" s="15"/>
      <c r="F25" s="15" t="s">
        <v>42</v>
      </c>
      <c r="G25" s="15" t="s">
        <v>1416</v>
      </c>
      <c r="H25" s="15"/>
      <c r="I25" s="15" t="str">
        <f>+33 2 97 84 89 33</f>
        <v>#ERROR!</v>
      </c>
      <c r="J25" s="15"/>
      <c r="K25" s="15"/>
      <c r="L25" s="15"/>
      <c r="M25" s="15"/>
      <c r="N25" s="15"/>
      <c r="O25" s="15" t="s">
        <v>92</v>
      </c>
    </row>
    <row r="26" ht="15.75" customHeight="1">
      <c r="A26" s="15" t="s">
        <v>1428</v>
      </c>
      <c r="B26" s="15" t="s">
        <v>589</v>
      </c>
      <c r="C26" s="15" t="s">
        <v>591</v>
      </c>
      <c r="D26" s="15"/>
      <c r="E26" s="15"/>
      <c r="F26" s="15" t="s">
        <v>42</v>
      </c>
      <c r="G26" s="15" t="s">
        <v>1431</v>
      </c>
      <c r="H26" s="15"/>
      <c r="I26" s="15"/>
      <c r="J26" s="25" t="s">
        <v>1432</v>
      </c>
      <c r="K26" s="15"/>
      <c r="L26" s="15"/>
      <c r="M26" s="15"/>
      <c r="N26" s="15"/>
      <c r="O26" s="15" t="s">
        <v>92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J13:K13"/>
  </mergeCells>
  <hyperlinks>
    <hyperlink r:id="rId1" ref="J2"/>
    <hyperlink r:id="rId2" ref="J3"/>
    <hyperlink r:id="rId3" ref="J5"/>
    <hyperlink r:id="rId4" ref="J6"/>
    <hyperlink r:id="rId5" ref="J8"/>
    <hyperlink r:id="rId6" ref="J10"/>
    <hyperlink r:id="rId7" ref="J11"/>
    <hyperlink r:id="rId8" ref="J13"/>
    <hyperlink r:id="rId9" ref="J16"/>
    <hyperlink r:id="rId10" ref="J17"/>
    <hyperlink r:id="rId11" ref="J19"/>
    <hyperlink r:id="rId12" ref="J21"/>
    <hyperlink r:id="rId13" ref="J22"/>
    <hyperlink r:id="rId14" ref="J26"/>
  </hyperlinks>
  <printOptions/>
  <pageMargins bottom="1.0" footer="0.0" header="0.0" left="0.75" right="0.75" top="1.0"/>
  <pageSetup orientation="landscape"/>
  <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6.0"/>
    <col customWidth="1" min="3" max="3" width="8.0"/>
    <col customWidth="1" min="4" max="4" width="20.0"/>
    <col customWidth="1" min="5" max="5" width="7.0"/>
    <col customWidth="1" min="6" max="6" width="22.0"/>
    <col customWidth="1" min="7" max="7" width="34.0"/>
    <col customWidth="1" min="8" max="8" width="26.0"/>
    <col customWidth="1" min="9" max="9" width="16.0"/>
    <col customWidth="1" min="10" max="10" width="30.0"/>
    <col customWidth="1" min="11" max="11" width="26.0"/>
    <col customWidth="1" min="12" max="12" width="30.0"/>
    <col customWidth="1" min="13" max="13" width="8.0"/>
    <col customWidth="1" min="14" max="14" width="38.0"/>
    <col customWidth="1" min="15" max="15" width="80.29"/>
  </cols>
  <sheetData>
    <row r="1">
      <c r="A1" s="4" t="s">
        <v>3</v>
      </c>
      <c r="B1" s="7" t="s">
        <v>5</v>
      </c>
      <c r="C1" s="7" t="s">
        <v>9</v>
      </c>
      <c r="D1" s="7" t="s">
        <v>12</v>
      </c>
      <c r="E1" s="7" t="s">
        <v>14</v>
      </c>
      <c r="F1" s="7" t="s">
        <v>17</v>
      </c>
      <c r="G1" s="7" t="s">
        <v>20</v>
      </c>
      <c r="H1" s="7" t="s">
        <v>22</v>
      </c>
      <c r="I1" s="7" t="s">
        <v>24</v>
      </c>
      <c r="J1" s="7" t="s">
        <v>26</v>
      </c>
      <c r="K1" s="7" t="s">
        <v>27</v>
      </c>
      <c r="L1" s="7" t="s">
        <v>29</v>
      </c>
      <c r="M1" s="7" t="s">
        <v>31</v>
      </c>
      <c r="N1" s="7" t="s">
        <v>34</v>
      </c>
      <c r="O1" s="7" t="s">
        <v>35</v>
      </c>
    </row>
    <row r="2" ht="15.75" customHeight="1">
      <c r="A2" s="13" t="s">
        <v>2028</v>
      </c>
      <c r="B2" s="13" t="s">
        <v>2030</v>
      </c>
      <c r="C2" s="13" t="s">
        <v>46</v>
      </c>
      <c r="D2" s="13" t="s">
        <v>2033</v>
      </c>
      <c r="E2" s="13">
        <v>44770.0</v>
      </c>
      <c r="F2" s="13" t="s">
        <v>7</v>
      </c>
      <c r="G2" s="13" t="s">
        <v>2036</v>
      </c>
      <c r="H2" s="13"/>
      <c r="I2" s="13" t="s">
        <v>2039</v>
      </c>
      <c r="J2" s="13"/>
      <c r="K2" s="13" t="s">
        <v>2042</v>
      </c>
      <c r="L2" s="13" t="s">
        <v>2043</v>
      </c>
      <c r="M2" s="13">
        <v>1978.0</v>
      </c>
      <c r="N2" s="13" t="s">
        <v>2046</v>
      </c>
      <c r="O2" s="13" t="s">
        <v>64</v>
      </c>
    </row>
    <row r="3" ht="15.75" customHeight="1">
      <c r="A3" s="13" t="s">
        <v>2050</v>
      </c>
      <c r="B3" s="13" t="s">
        <v>2030</v>
      </c>
      <c r="C3" s="13" t="s">
        <v>46</v>
      </c>
      <c r="D3" s="13" t="s">
        <v>2054</v>
      </c>
      <c r="E3" s="13">
        <v>44760.0</v>
      </c>
      <c r="F3" s="13" t="s">
        <v>7</v>
      </c>
      <c r="G3" s="13" t="s">
        <v>2058</v>
      </c>
      <c r="H3" s="13"/>
      <c r="I3" s="13" t="s">
        <v>2060</v>
      </c>
      <c r="J3" s="13"/>
      <c r="K3" s="13" t="s">
        <v>2063</v>
      </c>
      <c r="L3" s="13" t="s">
        <v>2065</v>
      </c>
      <c r="M3" s="13">
        <v>2021.0</v>
      </c>
      <c r="N3" s="13" t="s">
        <v>2070</v>
      </c>
      <c r="O3" s="13" t="s">
        <v>64</v>
      </c>
    </row>
    <row r="4" ht="15.75" customHeight="1">
      <c r="A4" s="13" t="s">
        <v>2072</v>
      </c>
      <c r="B4" s="13" t="s">
        <v>2030</v>
      </c>
      <c r="C4" s="13" t="s">
        <v>46</v>
      </c>
      <c r="D4" s="13" t="s">
        <v>214</v>
      </c>
      <c r="E4" s="13">
        <v>44350.0</v>
      </c>
      <c r="F4" s="13" t="s">
        <v>7</v>
      </c>
      <c r="G4" s="13" t="s">
        <v>2078</v>
      </c>
      <c r="H4" s="13"/>
      <c r="I4" s="13" t="s">
        <v>2080</v>
      </c>
      <c r="J4" s="13"/>
      <c r="K4" s="13"/>
      <c r="L4" s="13"/>
      <c r="M4" s="13"/>
      <c r="N4" s="13" t="s">
        <v>2046</v>
      </c>
      <c r="O4" s="13" t="s">
        <v>64</v>
      </c>
    </row>
    <row r="5" ht="15.75" customHeight="1">
      <c r="A5" s="13" t="s">
        <v>2085</v>
      </c>
      <c r="B5" s="13" t="s">
        <v>2030</v>
      </c>
      <c r="C5" s="13" t="s">
        <v>46</v>
      </c>
      <c r="D5" s="13" t="s">
        <v>2088</v>
      </c>
      <c r="E5" s="13">
        <v>44230.0</v>
      </c>
      <c r="F5" s="13" t="s">
        <v>7</v>
      </c>
      <c r="G5" s="13" t="s">
        <v>2090</v>
      </c>
      <c r="H5" s="13"/>
      <c r="I5" s="13" t="str">
        <f>+33 2 28 02 38 37</f>
        <v>#ERROR!</v>
      </c>
      <c r="J5" s="19" t="s">
        <v>2101</v>
      </c>
      <c r="K5" s="13" t="s">
        <v>2129</v>
      </c>
      <c r="L5" s="13" t="s">
        <v>2130</v>
      </c>
      <c r="M5" s="13">
        <v>2024.0</v>
      </c>
      <c r="N5" s="13"/>
      <c r="O5" s="13" t="s">
        <v>92</v>
      </c>
      <c r="P5" s="9" t="s">
        <v>2136</v>
      </c>
    </row>
    <row r="6" ht="15.75" customHeight="1">
      <c r="A6" s="13" t="s">
        <v>2142</v>
      </c>
      <c r="B6" s="13" t="s">
        <v>2030</v>
      </c>
      <c r="C6" s="13" t="s">
        <v>46</v>
      </c>
      <c r="D6" s="13" t="s">
        <v>313</v>
      </c>
      <c r="E6" s="13">
        <v>44100.0</v>
      </c>
      <c r="F6" s="13" t="s">
        <v>7</v>
      </c>
      <c r="G6" s="13" t="s">
        <v>2147</v>
      </c>
      <c r="H6" s="13"/>
      <c r="I6" s="13" t="s">
        <v>2149</v>
      </c>
      <c r="J6" s="13"/>
      <c r="K6" s="13"/>
      <c r="L6" s="13"/>
      <c r="M6" s="13"/>
      <c r="N6" s="13" t="s">
        <v>2153</v>
      </c>
      <c r="O6" s="13" t="s">
        <v>2159</v>
      </c>
    </row>
    <row r="7" ht="15.75" customHeight="1">
      <c r="A7" s="13" t="s">
        <v>2161</v>
      </c>
      <c r="B7" s="13" t="s">
        <v>2030</v>
      </c>
      <c r="C7" s="13" t="s">
        <v>46</v>
      </c>
      <c r="D7" s="13" t="s">
        <v>100</v>
      </c>
      <c r="E7" s="13">
        <v>44110.0</v>
      </c>
      <c r="F7" s="13" t="s">
        <v>7</v>
      </c>
      <c r="G7" s="13" t="s">
        <v>2164</v>
      </c>
      <c r="H7" s="13"/>
      <c r="I7" s="13" t="s">
        <v>2166</v>
      </c>
      <c r="J7" s="13"/>
      <c r="K7" s="13" t="s">
        <v>2172</v>
      </c>
      <c r="L7" s="13" t="s">
        <v>2173</v>
      </c>
      <c r="M7" s="13">
        <v>2022.0</v>
      </c>
      <c r="N7" s="13" t="s">
        <v>2175</v>
      </c>
      <c r="O7" s="13" t="s">
        <v>64</v>
      </c>
      <c r="P7" s="9" t="s">
        <v>2177</v>
      </c>
    </row>
    <row r="8" ht="15.75" customHeight="1">
      <c r="A8" s="13" t="s">
        <v>2179</v>
      </c>
      <c r="B8" s="13" t="s">
        <v>2030</v>
      </c>
      <c r="C8" s="13" t="s">
        <v>46</v>
      </c>
      <c r="D8" s="13" t="s">
        <v>214</v>
      </c>
      <c r="E8" s="13">
        <v>44350.0</v>
      </c>
      <c r="F8" s="13" t="s">
        <v>7</v>
      </c>
      <c r="G8" s="13" t="s">
        <v>2183</v>
      </c>
      <c r="H8" s="13"/>
      <c r="I8" s="13" t="s">
        <v>2186</v>
      </c>
      <c r="J8" s="13"/>
      <c r="K8" s="13" t="s">
        <v>2188</v>
      </c>
      <c r="L8" s="13" t="s">
        <v>2189</v>
      </c>
      <c r="M8" s="13">
        <v>2005.0</v>
      </c>
      <c r="N8" s="13" t="s">
        <v>2193</v>
      </c>
      <c r="O8" s="13" t="s">
        <v>64</v>
      </c>
    </row>
    <row r="9" ht="15.75" customHeight="1">
      <c r="A9" s="13" t="s">
        <v>2196</v>
      </c>
      <c r="B9" s="13" t="s">
        <v>2030</v>
      </c>
      <c r="C9" s="13" t="s">
        <v>46</v>
      </c>
      <c r="D9" s="13" t="s">
        <v>2199</v>
      </c>
      <c r="E9" s="13">
        <v>44540.0</v>
      </c>
      <c r="F9" s="13" t="s">
        <v>7</v>
      </c>
      <c r="G9" s="13" t="s">
        <v>2203</v>
      </c>
      <c r="H9" s="13"/>
      <c r="I9" s="13" t="s">
        <v>2207</v>
      </c>
      <c r="J9" s="13"/>
      <c r="K9" s="13"/>
      <c r="L9" s="13"/>
      <c r="M9" s="13"/>
      <c r="N9" s="13" t="s">
        <v>2210</v>
      </c>
      <c r="O9" s="13" t="s">
        <v>64</v>
      </c>
    </row>
    <row r="10" ht="15.75" customHeight="1">
      <c r="A10" s="13" t="s">
        <v>2214</v>
      </c>
      <c r="B10" s="13" t="s">
        <v>2030</v>
      </c>
      <c r="C10" s="13" t="s">
        <v>46</v>
      </c>
      <c r="D10" s="13" t="s">
        <v>2217</v>
      </c>
      <c r="E10" s="13">
        <v>44410.0</v>
      </c>
      <c r="F10" s="13" t="s">
        <v>7</v>
      </c>
      <c r="G10" s="13" t="s">
        <v>2219</v>
      </c>
      <c r="H10" s="13"/>
      <c r="I10" s="13" t="s">
        <v>2220</v>
      </c>
      <c r="J10" s="13"/>
      <c r="K10" s="13" t="s">
        <v>2223</v>
      </c>
      <c r="L10" s="13" t="s">
        <v>2224</v>
      </c>
      <c r="M10" s="13">
        <v>2016.0</v>
      </c>
      <c r="N10" s="13" t="s">
        <v>2175</v>
      </c>
      <c r="O10" s="13" t="s">
        <v>64</v>
      </c>
    </row>
    <row r="11" ht="15.75" customHeight="1">
      <c r="A11" s="13" t="s">
        <v>2229</v>
      </c>
      <c r="B11" s="13" t="s">
        <v>2030</v>
      </c>
      <c r="C11" s="13" t="s">
        <v>46</v>
      </c>
      <c r="D11" s="13" t="s">
        <v>313</v>
      </c>
      <c r="E11" s="13">
        <v>44300.0</v>
      </c>
      <c r="F11" s="13" t="s">
        <v>7</v>
      </c>
      <c r="G11" s="13" t="s">
        <v>2232</v>
      </c>
      <c r="H11" s="13"/>
      <c r="I11" s="13" t="s">
        <v>2234</v>
      </c>
      <c r="J11" s="13"/>
      <c r="K11" s="13" t="s">
        <v>1161</v>
      </c>
      <c r="L11" s="13"/>
      <c r="M11" s="13"/>
      <c r="N11" s="13" t="s">
        <v>2238</v>
      </c>
      <c r="O11" s="13" t="s">
        <v>2159</v>
      </c>
    </row>
    <row r="12" ht="15.75" customHeight="1">
      <c r="A12" s="13" t="s">
        <v>2241</v>
      </c>
      <c r="B12" s="13" t="s">
        <v>2030</v>
      </c>
      <c r="C12" s="13" t="s">
        <v>46</v>
      </c>
      <c r="D12" s="13" t="s">
        <v>2242</v>
      </c>
      <c r="E12" s="13">
        <v>44140.0</v>
      </c>
      <c r="F12" s="13" t="s">
        <v>7</v>
      </c>
      <c r="G12" s="13" t="s">
        <v>2246</v>
      </c>
      <c r="H12" s="13"/>
      <c r="I12" s="13" t="s">
        <v>2249</v>
      </c>
      <c r="J12" s="13"/>
      <c r="K12" s="13" t="s">
        <v>2250</v>
      </c>
      <c r="L12" s="13" t="s">
        <v>2252</v>
      </c>
      <c r="M12" s="13">
        <v>2010.0</v>
      </c>
      <c r="N12" s="13" t="s">
        <v>2253</v>
      </c>
      <c r="O12" s="13" t="s">
        <v>64</v>
      </c>
    </row>
    <row r="13" ht="15.75" customHeight="1">
      <c r="A13" s="13" t="s">
        <v>2255</v>
      </c>
      <c r="B13" s="13" t="s">
        <v>2030</v>
      </c>
      <c r="C13" s="13" t="s">
        <v>46</v>
      </c>
      <c r="D13" s="13" t="s">
        <v>193</v>
      </c>
      <c r="E13" s="13">
        <v>44600.0</v>
      </c>
      <c r="F13" s="13" t="s">
        <v>7</v>
      </c>
      <c r="G13" s="13" t="s">
        <v>2259</v>
      </c>
      <c r="H13" s="13"/>
      <c r="I13" s="13" t="s">
        <v>2260</v>
      </c>
      <c r="J13" s="13"/>
      <c r="K13" s="13"/>
      <c r="L13" s="13"/>
      <c r="M13" s="13"/>
      <c r="N13" s="13" t="s">
        <v>2263</v>
      </c>
      <c r="O13" s="13" t="s">
        <v>64</v>
      </c>
    </row>
    <row r="14" ht="15.75" customHeight="1">
      <c r="A14" s="13" t="s">
        <v>2266</v>
      </c>
      <c r="B14" s="13" t="s">
        <v>2030</v>
      </c>
      <c r="C14" s="13" t="s">
        <v>46</v>
      </c>
      <c r="D14" s="13" t="s">
        <v>313</v>
      </c>
      <c r="E14" s="13">
        <v>44000.0</v>
      </c>
      <c r="F14" s="13" t="s">
        <v>7</v>
      </c>
      <c r="G14" s="13" t="s">
        <v>2270</v>
      </c>
      <c r="H14" s="13"/>
      <c r="I14" s="13" t="s">
        <v>2271</v>
      </c>
      <c r="J14" s="13"/>
      <c r="K14" s="13"/>
      <c r="L14" s="13"/>
      <c r="M14" s="13"/>
      <c r="N14" s="13" t="s">
        <v>2273</v>
      </c>
      <c r="O14" s="13" t="s">
        <v>2275</v>
      </c>
    </row>
    <row r="15" ht="15.75" customHeight="1">
      <c r="A15" s="13" t="s">
        <v>2277</v>
      </c>
      <c r="B15" s="13" t="s">
        <v>2030</v>
      </c>
      <c r="C15" s="13" t="s">
        <v>46</v>
      </c>
      <c r="D15" s="13" t="s">
        <v>375</v>
      </c>
      <c r="E15" s="13">
        <v>44430.0</v>
      </c>
      <c r="F15" s="13" t="s">
        <v>7</v>
      </c>
      <c r="G15" s="13" t="s">
        <v>2281</v>
      </c>
      <c r="H15" s="13"/>
      <c r="I15" s="13" t="s">
        <v>2282</v>
      </c>
      <c r="J15" s="13"/>
      <c r="K15" s="13"/>
      <c r="L15" s="13"/>
      <c r="M15" s="13"/>
      <c r="N15" s="13" t="s">
        <v>2175</v>
      </c>
      <c r="O15" s="13" t="s">
        <v>64</v>
      </c>
    </row>
    <row r="16" ht="15.75" customHeight="1">
      <c r="A16" s="13" t="s">
        <v>2286</v>
      </c>
      <c r="B16" s="13" t="s">
        <v>2030</v>
      </c>
      <c r="C16" s="13" t="s">
        <v>46</v>
      </c>
      <c r="D16" s="13" t="s">
        <v>2288</v>
      </c>
      <c r="E16" s="13">
        <v>44840.0</v>
      </c>
      <c r="F16" s="13" t="s">
        <v>7</v>
      </c>
      <c r="G16" s="13" t="s">
        <v>2289</v>
      </c>
      <c r="H16" s="13"/>
      <c r="I16" s="13" t="s">
        <v>2291</v>
      </c>
      <c r="J16" s="13"/>
      <c r="K16" s="13"/>
      <c r="L16" s="13"/>
      <c r="M16" s="13"/>
      <c r="N16" s="13" t="s">
        <v>2070</v>
      </c>
      <c r="O16" s="13" t="s">
        <v>64</v>
      </c>
    </row>
    <row r="17" ht="15.75" customHeight="1">
      <c r="A17" s="13" t="s">
        <v>2295</v>
      </c>
      <c r="B17" s="13" t="s">
        <v>2030</v>
      </c>
      <c r="C17" s="13" t="s">
        <v>46</v>
      </c>
      <c r="D17" s="13" t="s">
        <v>193</v>
      </c>
      <c r="E17" s="13">
        <v>44600.0</v>
      </c>
      <c r="F17" s="13" t="s">
        <v>7</v>
      </c>
      <c r="G17" s="13" t="s">
        <v>2298</v>
      </c>
      <c r="H17" s="13"/>
      <c r="I17" s="13" t="s">
        <v>2300</v>
      </c>
      <c r="J17" s="13"/>
      <c r="K17" s="13"/>
      <c r="L17" s="13"/>
      <c r="M17" s="13"/>
      <c r="N17" s="13" t="s">
        <v>2302</v>
      </c>
      <c r="O17" s="13" t="s">
        <v>64</v>
      </c>
    </row>
    <row r="18" ht="15.75" customHeight="1">
      <c r="A18" s="13" t="s">
        <v>2304</v>
      </c>
      <c r="B18" s="13" t="s">
        <v>2030</v>
      </c>
      <c r="C18" s="13" t="s">
        <v>46</v>
      </c>
      <c r="D18" s="13" t="s">
        <v>118</v>
      </c>
      <c r="E18" s="13">
        <v>44190.0</v>
      </c>
      <c r="F18" s="13" t="s">
        <v>7</v>
      </c>
      <c r="G18" s="13" t="s">
        <v>2306</v>
      </c>
      <c r="H18" s="13"/>
      <c r="I18" s="13">
        <v>2.51255107E8</v>
      </c>
      <c r="J18" s="13"/>
      <c r="K18" s="13" t="s">
        <v>2307</v>
      </c>
      <c r="L18" s="13" t="s">
        <v>2308</v>
      </c>
      <c r="M18" s="13">
        <v>2026.0</v>
      </c>
      <c r="N18" s="13" t="s">
        <v>2175</v>
      </c>
      <c r="O18" s="13" t="s">
        <v>64</v>
      </c>
    </row>
    <row r="19" ht="15.75" customHeight="1">
      <c r="A19" s="13" t="s">
        <v>2311</v>
      </c>
      <c r="B19" s="13" t="s">
        <v>2030</v>
      </c>
      <c r="C19" s="13" t="s">
        <v>46</v>
      </c>
      <c r="D19" s="13" t="s">
        <v>616</v>
      </c>
      <c r="E19" s="13">
        <v>49100.0</v>
      </c>
      <c r="F19" s="13" t="s">
        <v>33</v>
      </c>
      <c r="G19" s="13" t="s">
        <v>2315</v>
      </c>
      <c r="H19" s="13"/>
      <c r="I19" s="13" t="s">
        <v>2317</v>
      </c>
      <c r="J19" s="13"/>
      <c r="K19" s="13" t="s">
        <v>2318</v>
      </c>
      <c r="L19" s="13" t="s">
        <v>2320</v>
      </c>
      <c r="M19" s="13">
        <v>2024.0</v>
      </c>
      <c r="N19" s="13" t="s">
        <v>2175</v>
      </c>
      <c r="O19" s="13" t="s">
        <v>64</v>
      </c>
    </row>
    <row r="20" ht="15.75" customHeight="1">
      <c r="A20" s="13" t="s">
        <v>2322</v>
      </c>
      <c r="B20" s="13" t="s">
        <v>2030</v>
      </c>
      <c r="C20" s="13" t="s">
        <v>46</v>
      </c>
      <c r="D20" s="13" t="s">
        <v>616</v>
      </c>
      <c r="E20" s="13">
        <v>49100.0</v>
      </c>
      <c r="F20" s="13" t="s">
        <v>33</v>
      </c>
      <c r="G20" s="13" t="s">
        <v>2325</v>
      </c>
      <c r="H20" s="13"/>
      <c r="I20" s="13" t="s">
        <v>2326</v>
      </c>
      <c r="J20" s="13"/>
      <c r="K20" s="13" t="s">
        <v>2328</v>
      </c>
      <c r="L20" s="13" t="s">
        <v>2329</v>
      </c>
      <c r="M20" s="13">
        <v>2020.0</v>
      </c>
      <c r="N20" s="13" t="s">
        <v>2046</v>
      </c>
      <c r="O20" s="13" t="s">
        <v>64</v>
      </c>
      <c r="P20" s="9" t="s">
        <v>2332</v>
      </c>
    </row>
    <row r="21" ht="15.75" customHeight="1">
      <c r="A21" s="13" t="s">
        <v>2334</v>
      </c>
      <c r="B21" s="13" t="s">
        <v>2030</v>
      </c>
      <c r="C21" s="13" t="s">
        <v>46</v>
      </c>
      <c r="D21" s="13" t="s">
        <v>616</v>
      </c>
      <c r="E21" s="13">
        <v>49100.0</v>
      </c>
      <c r="F21" s="13" t="s">
        <v>33</v>
      </c>
      <c r="G21" s="13" t="s">
        <v>2337</v>
      </c>
      <c r="H21" s="13"/>
      <c r="I21" s="13" t="s">
        <v>1159</v>
      </c>
      <c r="J21" s="13"/>
      <c r="K21" s="13" t="s">
        <v>2340</v>
      </c>
      <c r="L21" s="13" t="s">
        <v>2341</v>
      </c>
      <c r="M21" s="13">
        <v>2008.0</v>
      </c>
      <c r="N21" s="13" t="s">
        <v>479</v>
      </c>
      <c r="O21" s="13" t="s">
        <v>64</v>
      </c>
    </row>
    <row r="22" ht="15.75" customHeight="1">
      <c r="A22" s="13" t="s">
        <v>2344</v>
      </c>
      <c r="B22" s="13" t="s">
        <v>2030</v>
      </c>
      <c r="C22" s="13" t="s">
        <v>46</v>
      </c>
      <c r="D22" s="13" t="s">
        <v>616</v>
      </c>
      <c r="E22" s="13">
        <v>49100.0</v>
      </c>
      <c r="F22" s="13" t="s">
        <v>33</v>
      </c>
      <c r="G22" s="13" t="s">
        <v>2346</v>
      </c>
      <c r="H22" s="13"/>
      <c r="I22" s="13" t="s">
        <v>2347</v>
      </c>
      <c r="J22" s="13"/>
      <c r="K22" s="13" t="s">
        <v>2348</v>
      </c>
      <c r="L22" s="13" t="s">
        <v>2349</v>
      </c>
      <c r="M22" s="13">
        <v>2020.0</v>
      </c>
      <c r="N22" s="13" t="s">
        <v>2175</v>
      </c>
      <c r="O22" s="13" t="s">
        <v>64</v>
      </c>
    </row>
    <row r="23" ht="15.75" customHeight="1">
      <c r="A23" s="13" t="s">
        <v>2350</v>
      </c>
      <c r="B23" s="13" t="s">
        <v>2030</v>
      </c>
      <c r="C23" s="13" t="s">
        <v>46</v>
      </c>
      <c r="D23" s="13" t="s">
        <v>616</v>
      </c>
      <c r="E23" s="13">
        <v>49100.0</v>
      </c>
      <c r="F23" s="13" t="s">
        <v>33</v>
      </c>
      <c r="G23" s="13" t="s">
        <v>2351</v>
      </c>
      <c r="H23" s="13"/>
      <c r="I23" s="13" t="s">
        <v>2352</v>
      </c>
      <c r="J23" s="13"/>
      <c r="K23" s="13" t="s">
        <v>2353</v>
      </c>
      <c r="L23" s="13" t="s">
        <v>2354</v>
      </c>
      <c r="M23" s="13">
        <v>2003.0</v>
      </c>
      <c r="N23" s="13" t="s">
        <v>2175</v>
      </c>
      <c r="O23" s="13" t="s">
        <v>64</v>
      </c>
    </row>
    <row r="24" ht="15.75" customHeight="1">
      <c r="A24" s="13" t="s">
        <v>2355</v>
      </c>
      <c r="B24" s="13" t="s">
        <v>2030</v>
      </c>
      <c r="C24" s="13" t="s">
        <v>46</v>
      </c>
      <c r="D24" s="13" t="s">
        <v>872</v>
      </c>
      <c r="E24" s="13">
        <v>49300.0</v>
      </c>
      <c r="F24" s="13" t="s">
        <v>33</v>
      </c>
      <c r="G24" s="13" t="s">
        <v>2356</v>
      </c>
      <c r="H24" s="13"/>
      <c r="I24" s="13" t="s">
        <v>2357</v>
      </c>
      <c r="J24" s="13"/>
      <c r="K24" s="13" t="s">
        <v>2358</v>
      </c>
      <c r="L24" s="13" t="s">
        <v>2359</v>
      </c>
      <c r="M24" s="13">
        <v>2000.0</v>
      </c>
      <c r="N24" s="13" t="s">
        <v>2360</v>
      </c>
      <c r="O24" s="13" t="s">
        <v>64</v>
      </c>
    </row>
    <row r="25" ht="15.75" customHeight="1">
      <c r="A25" s="13" t="s">
        <v>2361</v>
      </c>
      <c r="B25" s="13" t="s">
        <v>2030</v>
      </c>
      <c r="C25" s="13" t="s">
        <v>46</v>
      </c>
      <c r="D25" s="13" t="s">
        <v>616</v>
      </c>
      <c r="E25" s="13">
        <v>49100.0</v>
      </c>
      <c r="F25" s="13" t="s">
        <v>33</v>
      </c>
      <c r="G25" s="13" t="s">
        <v>2362</v>
      </c>
      <c r="H25" s="13"/>
      <c r="I25" s="13" t="s">
        <v>2363</v>
      </c>
      <c r="J25" s="13"/>
      <c r="K25" s="13" t="s">
        <v>2364</v>
      </c>
      <c r="L25" s="13" t="s">
        <v>2365</v>
      </c>
      <c r="M25" s="13">
        <v>2023.0</v>
      </c>
      <c r="N25" s="13" t="s">
        <v>2175</v>
      </c>
      <c r="O25" s="13" t="s">
        <v>64</v>
      </c>
    </row>
    <row r="26" ht="15.75" customHeight="1">
      <c r="A26" s="13" t="s">
        <v>2366</v>
      </c>
      <c r="B26" s="13" t="s">
        <v>2030</v>
      </c>
      <c r="C26" s="13" t="s">
        <v>46</v>
      </c>
      <c r="D26" s="13" t="s">
        <v>616</v>
      </c>
      <c r="E26" s="13">
        <v>49100.0</v>
      </c>
      <c r="F26" s="13" t="s">
        <v>33</v>
      </c>
      <c r="G26" s="13" t="s">
        <v>2367</v>
      </c>
      <c r="H26" s="13"/>
      <c r="I26" s="13" t="str">
        <f>+33 2 41 88 42 51</f>
        <v>#ERROR!</v>
      </c>
      <c r="J26" s="19" t="s">
        <v>2368</v>
      </c>
      <c r="K26" s="13" t="s">
        <v>2369</v>
      </c>
      <c r="L26" s="13" t="s">
        <v>2370</v>
      </c>
      <c r="M26" s="13">
        <v>1986.0</v>
      </c>
      <c r="N26" s="13" t="s">
        <v>2371</v>
      </c>
      <c r="O26" s="13" t="s">
        <v>296</v>
      </c>
    </row>
    <row r="27" ht="15.75" customHeight="1">
      <c r="A27" s="13" t="s">
        <v>2373</v>
      </c>
      <c r="B27" s="13" t="s">
        <v>2030</v>
      </c>
      <c r="C27" s="13" t="s">
        <v>46</v>
      </c>
      <c r="D27" s="13" t="s">
        <v>616</v>
      </c>
      <c r="E27" s="13">
        <v>49100.0</v>
      </c>
      <c r="F27" s="13" t="s">
        <v>33</v>
      </c>
      <c r="G27" s="13" t="s">
        <v>2375</v>
      </c>
      <c r="H27" s="13"/>
      <c r="I27" s="13" t="s">
        <v>2376</v>
      </c>
      <c r="J27" s="13"/>
      <c r="K27" s="13" t="s">
        <v>2377</v>
      </c>
      <c r="L27" s="13" t="s">
        <v>2379</v>
      </c>
      <c r="M27" s="13">
        <v>2024.0</v>
      </c>
      <c r="N27" s="13" t="s">
        <v>2175</v>
      </c>
      <c r="O27" s="13" t="s">
        <v>64</v>
      </c>
      <c r="P27" s="9" t="s">
        <v>2381</v>
      </c>
    </row>
    <row r="28" ht="15.75" customHeight="1">
      <c r="A28" s="13" t="s">
        <v>2384</v>
      </c>
      <c r="B28" s="13" t="s">
        <v>2030</v>
      </c>
      <c r="C28" s="13" t="s">
        <v>46</v>
      </c>
      <c r="D28" s="13" t="s">
        <v>2385</v>
      </c>
      <c r="E28" s="13">
        <v>49080.0</v>
      </c>
      <c r="F28" s="13" t="s">
        <v>33</v>
      </c>
      <c r="G28" s="13" t="s">
        <v>2387</v>
      </c>
      <c r="H28" s="13"/>
      <c r="I28" s="13" t="s">
        <v>2388</v>
      </c>
      <c r="J28" s="13"/>
      <c r="K28" s="13" t="s">
        <v>2389</v>
      </c>
      <c r="L28" s="13" t="s">
        <v>2390</v>
      </c>
      <c r="M28" s="13">
        <v>2024.0</v>
      </c>
      <c r="N28" s="13" t="s">
        <v>2175</v>
      </c>
      <c r="O28" s="13" t="s">
        <v>64</v>
      </c>
    </row>
    <row r="29" ht="15.75" customHeight="1">
      <c r="A29" s="13" t="s">
        <v>2391</v>
      </c>
      <c r="B29" s="13" t="s">
        <v>2030</v>
      </c>
      <c r="C29" s="13" t="s">
        <v>46</v>
      </c>
      <c r="D29" s="13" t="s">
        <v>1136</v>
      </c>
      <c r="E29" s="13">
        <v>49400.0</v>
      </c>
      <c r="F29" s="13" t="s">
        <v>33</v>
      </c>
      <c r="G29" s="13" t="s">
        <v>2392</v>
      </c>
      <c r="H29" s="13"/>
      <c r="I29" s="13" t="s">
        <v>2393</v>
      </c>
      <c r="J29" s="13"/>
      <c r="K29" s="13"/>
      <c r="L29" s="13"/>
      <c r="M29" s="13"/>
      <c r="N29" s="13" t="s">
        <v>2046</v>
      </c>
      <c r="O29" s="13" t="s">
        <v>64</v>
      </c>
    </row>
    <row r="30" ht="15.75" customHeight="1">
      <c r="A30" s="13" t="s">
        <v>2394</v>
      </c>
      <c r="B30" s="13" t="s">
        <v>2030</v>
      </c>
      <c r="C30" s="13" t="s">
        <v>46</v>
      </c>
      <c r="D30" s="13" t="s">
        <v>2395</v>
      </c>
      <c r="E30" s="13">
        <v>49240.0</v>
      </c>
      <c r="F30" s="13" t="s">
        <v>33</v>
      </c>
      <c r="G30" s="13" t="s">
        <v>2396</v>
      </c>
      <c r="H30" s="13"/>
      <c r="I30" s="13" t="s">
        <v>2397</v>
      </c>
      <c r="J30" s="13"/>
      <c r="K30" s="13" t="s">
        <v>2398</v>
      </c>
      <c r="L30" s="13" t="s">
        <v>2399</v>
      </c>
      <c r="M30" s="13">
        <v>2020.0</v>
      </c>
      <c r="N30" s="13" t="s">
        <v>2175</v>
      </c>
      <c r="O30" s="13" t="s">
        <v>64</v>
      </c>
      <c r="P30" s="9" t="s">
        <v>2401</v>
      </c>
    </row>
    <row r="31" ht="15.75" customHeight="1">
      <c r="A31" s="13" t="s">
        <v>2402</v>
      </c>
      <c r="B31" s="13" t="s">
        <v>2030</v>
      </c>
      <c r="C31" s="13" t="s">
        <v>46</v>
      </c>
      <c r="D31" s="13" t="s">
        <v>945</v>
      </c>
      <c r="E31" s="13">
        <v>49590.0</v>
      </c>
      <c r="F31" s="13" t="s">
        <v>33</v>
      </c>
      <c r="G31" s="13" t="s">
        <v>2404</v>
      </c>
      <c r="H31" s="13"/>
      <c r="I31" s="13" t="s">
        <v>2406</v>
      </c>
      <c r="J31" s="13"/>
      <c r="K31" s="13"/>
      <c r="L31" s="13"/>
      <c r="M31" s="13"/>
      <c r="N31" s="13" t="s">
        <v>2407</v>
      </c>
      <c r="O31" s="13" t="s">
        <v>64</v>
      </c>
      <c r="P31" s="9" t="s">
        <v>2408</v>
      </c>
    </row>
    <row r="32" ht="15.75" customHeight="1">
      <c r="A32" s="13" t="s">
        <v>2409</v>
      </c>
      <c r="B32" s="13" t="s">
        <v>2030</v>
      </c>
      <c r="C32" s="13" t="s">
        <v>46</v>
      </c>
      <c r="D32" s="13" t="s">
        <v>1136</v>
      </c>
      <c r="E32" s="13">
        <v>49400.0</v>
      </c>
      <c r="F32" s="13" t="s">
        <v>33</v>
      </c>
      <c r="G32" s="13" t="s">
        <v>2410</v>
      </c>
      <c r="H32" s="13"/>
      <c r="I32" s="13" t="s">
        <v>2411</v>
      </c>
      <c r="J32" s="13"/>
      <c r="K32" s="13"/>
      <c r="L32" s="13"/>
      <c r="M32" s="13"/>
      <c r="N32" s="13" t="s">
        <v>408</v>
      </c>
      <c r="O32" s="13" t="s">
        <v>64</v>
      </c>
    </row>
    <row r="33" ht="15.75" customHeight="1">
      <c r="A33" s="13" t="s">
        <v>2412</v>
      </c>
      <c r="B33" s="13" t="s">
        <v>2030</v>
      </c>
      <c r="C33" s="13" t="s">
        <v>46</v>
      </c>
      <c r="D33" s="13" t="s">
        <v>2413</v>
      </c>
      <c r="E33" s="13">
        <v>49450.0</v>
      </c>
      <c r="F33" s="13" t="s">
        <v>33</v>
      </c>
      <c r="G33" s="13" t="s">
        <v>2414</v>
      </c>
      <c r="H33" s="13"/>
      <c r="I33" s="13" t="s">
        <v>2415</v>
      </c>
      <c r="J33" s="13"/>
      <c r="K33" s="13" t="s">
        <v>2416</v>
      </c>
      <c r="L33" s="13"/>
      <c r="M33" s="13"/>
      <c r="N33" s="13" t="s">
        <v>2175</v>
      </c>
      <c r="O33" s="13" t="s">
        <v>64</v>
      </c>
      <c r="P33" s="9" t="s">
        <v>2417</v>
      </c>
    </row>
    <row r="34" ht="15.75" customHeight="1">
      <c r="A34" s="13" t="s">
        <v>2419</v>
      </c>
      <c r="B34" s="13" t="s">
        <v>2030</v>
      </c>
      <c r="C34" s="13" t="s">
        <v>46</v>
      </c>
      <c r="D34" s="13" t="s">
        <v>1136</v>
      </c>
      <c r="E34" s="13">
        <v>49400.0</v>
      </c>
      <c r="F34" s="13" t="s">
        <v>33</v>
      </c>
      <c r="G34" s="13" t="s">
        <v>2422</v>
      </c>
      <c r="H34" s="13"/>
      <c r="I34" s="13" t="s">
        <v>2423</v>
      </c>
      <c r="J34" s="13"/>
      <c r="K34" s="13"/>
      <c r="L34" s="13"/>
      <c r="M34" s="13"/>
      <c r="N34" s="13" t="s">
        <v>867</v>
      </c>
      <c r="O34" s="13" t="s">
        <v>64</v>
      </c>
      <c r="P34" s="9" t="s">
        <v>2425</v>
      </c>
    </row>
    <row r="35" ht="15.75" customHeight="1">
      <c r="A35" s="13" t="s">
        <v>2426</v>
      </c>
      <c r="B35" s="13" t="s">
        <v>2030</v>
      </c>
      <c r="C35" s="13" t="s">
        <v>46</v>
      </c>
      <c r="D35" s="13" t="s">
        <v>1031</v>
      </c>
      <c r="E35" s="13">
        <v>49410.0</v>
      </c>
      <c r="F35" s="13" t="s">
        <v>33</v>
      </c>
      <c r="G35" s="13" t="s">
        <v>2427</v>
      </c>
      <c r="H35" s="13"/>
      <c r="I35" s="13" t="s">
        <v>2428</v>
      </c>
      <c r="J35" s="13"/>
      <c r="K35" s="13"/>
      <c r="L35" s="13"/>
      <c r="M35" s="13"/>
      <c r="N35" s="13" t="s">
        <v>2429</v>
      </c>
      <c r="O35" s="13" t="s">
        <v>64</v>
      </c>
      <c r="P35" s="9" t="s">
        <v>2430</v>
      </c>
    </row>
    <row r="36" ht="15.75" customHeight="1">
      <c r="A36" s="13" t="s">
        <v>2431</v>
      </c>
      <c r="B36" s="13" t="s">
        <v>2030</v>
      </c>
      <c r="C36" s="13" t="s">
        <v>46</v>
      </c>
      <c r="D36" s="13" t="s">
        <v>2432</v>
      </c>
      <c r="E36" s="13">
        <v>49730.0</v>
      </c>
      <c r="F36" s="13" t="s">
        <v>33</v>
      </c>
      <c r="G36" s="13" t="s">
        <v>2433</v>
      </c>
      <c r="H36" s="13"/>
      <c r="I36" s="13" t="s">
        <v>2434</v>
      </c>
      <c r="J36" s="13"/>
      <c r="K36" s="13"/>
      <c r="L36" s="13"/>
      <c r="M36" s="13"/>
      <c r="N36" s="13" t="s">
        <v>2046</v>
      </c>
      <c r="O36" s="13" t="s">
        <v>64</v>
      </c>
    </row>
    <row r="37" ht="15.75" customHeight="1">
      <c r="A37" s="13" t="s">
        <v>2435</v>
      </c>
      <c r="B37" s="13" t="s">
        <v>2030</v>
      </c>
      <c r="C37" s="13" t="s">
        <v>46</v>
      </c>
      <c r="D37" s="13" t="s">
        <v>616</v>
      </c>
      <c r="E37" s="13">
        <v>49100.0</v>
      </c>
      <c r="F37" s="13" t="s">
        <v>33</v>
      </c>
      <c r="G37" s="13" t="s">
        <v>2438</v>
      </c>
      <c r="H37" s="13"/>
      <c r="I37" s="13" t="s">
        <v>2439</v>
      </c>
      <c r="J37" s="13"/>
      <c r="K37" s="13" t="s">
        <v>2440</v>
      </c>
      <c r="L37" s="13" t="s">
        <v>2442</v>
      </c>
      <c r="M37" s="13">
        <v>2019.0</v>
      </c>
      <c r="N37" s="13" t="s">
        <v>2175</v>
      </c>
      <c r="O37" s="13" t="s">
        <v>64</v>
      </c>
    </row>
    <row r="38" ht="15.75" customHeight="1">
      <c r="A38" s="13" t="s">
        <v>2443</v>
      </c>
      <c r="B38" s="13" t="s">
        <v>2030</v>
      </c>
      <c r="C38" s="13" t="s">
        <v>46</v>
      </c>
      <c r="D38" s="13" t="s">
        <v>616</v>
      </c>
      <c r="E38" s="13">
        <v>49100.0</v>
      </c>
      <c r="F38" s="13" t="s">
        <v>33</v>
      </c>
      <c r="G38" s="13" t="s">
        <v>2444</v>
      </c>
      <c r="H38" s="13"/>
      <c r="I38" s="13" t="str">
        <f>+33 6 44 18 05 29</f>
        <v>#ERROR!</v>
      </c>
      <c r="J38" s="19" t="s">
        <v>2445</v>
      </c>
      <c r="K38" s="13" t="s">
        <v>2449</v>
      </c>
      <c r="L38" s="13" t="s">
        <v>2450</v>
      </c>
      <c r="M38" s="13">
        <v>2021.0</v>
      </c>
      <c r="N38" s="13" t="s">
        <v>2451</v>
      </c>
      <c r="O38" s="13" t="s">
        <v>296</v>
      </c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5.75" customHeight="1">
      <c r="A40" s="13" t="s">
        <v>2452</v>
      </c>
      <c r="B40" s="13" t="s">
        <v>2030</v>
      </c>
      <c r="C40" s="13" t="s">
        <v>46</v>
      </c>
      <c r="D40" s="13" t="s">
        <v>1370</v>
      </c>
      <c r="E40" s="13">
        <v>35400.0</v>
      </c>
      <c r="F40" s="13" t="s">
        <v>52</v>
      </c>
      <c r="G40" s="13" t="s">
        <v>2458</v>
      </c>
      <c r="H40" s="13"/>
      <c r="I40" s="13" t="s">
        <v>2459</v>
      </c>
      <c r="J40" s="13"/>
      <c r="K40" s="13"/>
      <c r="L40" s="13" t="s">
        <v>2461</v>
      </c>
      <c r="M40" s="13"/>
      <c r="N40" s="13" t="s">
        <v>2462</v>
      </c>
      <c r="O40" s="13" t="s">
        <v>2463</v>
      </c>
    </row>
    <row r="41" ht="15.75" customHeight="1">
      <c r="A41" s="13" t="s">
        <v>2464</v>
      </c>
      <c r="B41" s="13" t="s">
        <v>2030</v>
      </c>
      <c r="C41" s="13" t="s">
        <v>46</v>
      </c>
      <c r="D41" s="13" t="s">
        <v>2465</v>
      </c>
      <c r="E41" s="13">
        <v>35530.0</v>
      </c>
      <c r="F41" s="13" t="s">
        <v>52</v>
      </c>
      <c r="G41" s="13" t="s">
        <v>2466</v>
      </c>
      <c r="H41" s="13"/>
      <c r="I41" s="13" t="s">
        <v>2467</v>
      </c>
      <c r="J41" s="13"/>
      <c r="K41" s="13"/>
      <c r="L41" s="13"/>
      <c r="M41" s="13"/>
      <c r="N41" s="13" t="s">
        <v>2468</v>
      </c>
      <c r="O41" s="13" t="s">
        <v>2469</v>
      </c>
    </row>
    <row r="42" ht="15.75" customHeight="1">
      <c r="A42" s="13" t="s">
        <v>2470</v>
      </c>
      <c r="B42" s="13" t="s">
        <v>2030</v>
      </c>
      <c r="C42" s="13" t="s">
        <v>46</v>
      </c>
      <c r="D42" s="13" t="s">
        <v>1349</v>
      </c>
      <c r="E42" s="13">
        <v>35000.0</v>
      </c>
      <c r="F42" s="13" t="s">
        <v>52</v>
      </c>
      <c r="G42" s="13" t="s">
        <v>2471</v>
      </c>
      <c r="H42" s="13"/>
      <c r="I42" s="13" t="s">
        <v>2472</v>
      </c>
      <c r="J42" s="13"/>
      <c r="K42" s="13"/>
      <c r="L42" s="13"/>
      <c r="M42" s="13"/>
      <c r="N42" s="13" t="s">
        <v>2473</v>
      </c>
      <c r="O42" s="13" t="s">
        <v>2469</v>
      </c>
    </row>
    <row r="43" ht="15.75" customHeight="1">
      <c r="A43" s="13" t="s">
        <v>2474</v>
      </c>
      <c r="B43" s="13" t="s">
        <v>2030</v>
      </c>
      <c r="C43" s="13" t="s">
        <v>46</v>
      </c>
      <c r="D43" s="13" t="s">
        <v>1349</v>
      </c>
      <c r="E43" s="13">
        <v>35000.0</v>
      </c>
      <c r="F43" s="13" t="s">
        <v>52</v>
      </c>
      <c r="G43" s="13" t="s">
        <v>2475</v>
      </c>
      <c r="H43" s="13"/>
      <c r="I43" s="13" t="s">
        <v>2476</v>
      </c>
      <c r="J43" s="13"/>
      <c r="K43" s="13"/>
      <c r="L43" s="13"/>
      <c r="M43" s="13"/>
      <c r="N43" s="13" t="s">
        <v>2477</v>
      </c>
      <c r="O43" s="13" t="s">
        <v>2469</v>
      </c>
    </row>
    <row r="44" ht="15.75" customHeight="1">
      <c r="A44" s="13" t="s">
        <v>2478</v>
      </c>
      <c r="B44" s="13" t="s">
        <v>2030</v>
      </c>
      <c r="C44" s="13" t="s">
        <v>46</v>
      </c>
      <c r="D44" s="13" t="s">
        <v>1349</v>
      </c>
      <c r="E44" s="13">
        <v>35000.0</v>
      </c>
      <c r="F44" s="13" t="s">
        <v>52</v>
      </c>
      <c r="G44" s="13" t="s">
        <v>2479</v>
      </c>
      <c r="H44" s="13"/>
      <c r="I44" s="13" t="s">
        <v>2480</v>
      </c>
      <c r="J44" s="13"/>
      <c r="K44" s="13"/>
      <c r="L44" s="13"/>
      <c r="M44" s="13"/>
      <c r="N44" s="13" t="s">
        <v>2481</v>
      </c>
      <c r="O44" s="13" t="s">
        <v>2469</v>
      </c>
    </row>
    <row r="45" ht="15.75" customHeight="1">
      <c r="A45" s="13" t="s">
        <v>2482</v>
      </c>
      <c r="B45" s="13" t="s">
        <v>2030</v>
      </c>
      <c r="C45" s="13" t="s">
        <v>46</v>
      </c>
      <c r="D45" s="13" t="s">
        <v>1349</v>
      </c>
      <c r="E45" s="13">
        <v>35000.0</v>
      </c>
      <c r="F45" s="13" t="s">
        <v>52</v>
      </c>
      <c r="G45" s="13" t="s">
        <v>2483</v>
      </c>
      <c r="H45" s="13"/>
      <c r="I45" s="13" t="s">
        <v>2484</v>
      </c>
      <c r="J45" s="13"/>
      <c r="K45" s="13"/>
      <c r="L45" s="13"/>
      <c r="M45" s="13"/>
      <c r="N45" s="13" t="s">
        <v>2485</v>
      </c>
      <c r="O45" s="13" t="s">
        <v>2469</v>
      </c>
    </row>
    <row r="46" ht="15.75" customHeight="1">
      <c r="A46" s="13" t="s">
        <v>2486</v>
      </c>
      <c r="B46" s="13" t="s">
        <v>2030</v>
      </c>
      <c r="C46" s="13" t="s">
        <v>46</v>
      </c>
      <c r="D46" s="13" t="s">
        <v>2487</v>
      </c>
      <c r="E46" s="13">
        <v>35150.0</v>
      </c>
      <c r="F46" s="13" t="s">
        <v>52</v>
      </c>
      <c r="G46" s="13" t="s">
        <v>2488</v>
      </c>
      <c r="H46" s="13"/>
      <c r="I46" s="13" t="s">
        <v>2489</v>
      </c>
      <c r="J46" s="13"/>
      <c r="K46" s="13"/>
      <c r="L46" s="13"/>
      <c r="M46" s="13"/>
      <c r="N46" s="13" t="s">
        <v>2490</v>
      </c>
      <c r="O46" s="13" t="s">
        <v>2469</v>
      </c>
    </row>
    <row r="47" ht="15.75" customHeight="1">
      <c r="A47" s="13" t="s">
        <v>2491</v>
      </c>
      <c r="B47" s="13" t="s">
        <v>2030</v>
      </c>
      <c r="C47" s="13" t="s">
        <v>46</v>
      </c>
      <c r="D47" s="13" t="s">
        <v>2492</v>
      </c>
      <c r="E47" s="13">
        <v>35350.0</v>
      </c>
      <c r="F47" s="13" t="s">
        <v>52</v>
      </c>
      <c r="G47" s="13" t="s">
        <v>2493</v>
      </c>
      <c r="H47" s="13"/>
      <c r="I47" s="13" t="s">
        <v>2494</v>
      </c>
      <c r="J47" s="13"/>
      <c r="K47" s="13"/>
      <c r="L47" s="13"/>
      <c r="M47" s="13"/>
      <c r="N47" s="13" t="s">
        <v>2495</v>
      </c>
      <c r="O47" s="13" t="s">
        <v>2469</v>
      </c>
    </row>
    <row r="48" ht="15.75" customHeight="1">
      <c r="A48" s="13" t="s">
        <v>2496</v>
      </c>
      <c r="B48" s="13" t="s">
        <v>2030</v>
      </c>
      <c r="C48" s="13" t="s">
        <v>46</v>
      </c>
      <c r="D48" s="13" t="s">
        <v>1349</v>
      </c>
      <c r="E48" s="13">
        <v>35000.0</v>
      </c>
      <c r="F48" s="13" t="s">
        <v>52</v>
      </c>
      <c r="G48" s="13" t="s">
        <v>2497</v>
      </c>
      <c r="H48" s="13"/>
      <c r="I48" s="13" t="s">
        <v>2498</v>
      </c>
      <c r="J48" s="13"/>
      <c r="K48" s="13"/>
      <c r="L48" s="13"/>
      <c r="M48" s="13"/>
      <c r="N48" s="13" t="s">
        <v>2499</v>
      </c>
      <c r="O48" s="13" t="s">
        <v>2500</v>
      </c>
    </row>
    <row r="49" ht="15.75" customHeight="1">
      <c r="A49" s="13" t="s">
        <v>2501</v>
      </c>
      <c r="B49" s="13" t="s">
        <v>2030</v>
      </c>
      <c r="C49" s="13" t="s">
        <v>46</v>
      </c>
      <c r="D49" s="13" t="s">
        <v>1449</v>
      </c>
      <c r="E49" s="13">
        <v>35800.0</v>
      </c>
      <c r="F49" s="13" t="s">
        <v>52</v>
      </c>
      <c r="G49" s="13" t="s">
        <v>2502</v>
      </c>
      <c r="H49" s="13"/>
      <c r="I49" s="13" t="s">
        <v>2503</v>
      </c>
      <c r="J49" s="13"/>
      <c r="K49" s="13"/>
      <c r="L49" s="13"/>
      <c r="M49" s="13"/>
      <c r="N49" s="13" t="s">
        <v>2504</v>
      </c>
      <c r="O49" s="13" t="s">
        <v>2505</v>
      </c>
    </row>
    <row r="50" ht="15.75" customHeight="1">
      <c r="A50" s="13" t="s">
        <v>2506</v>
      </c>
      <c r="B50" s="13" t="s">
        <v>2030</v>
      </c>
      <c r="C50" s="13" t="s">
        <v>46</v>
      </c>
      <c r="D50" s="13" t="s">
        <v>2507</v>
      </c>
      <c r="E50" s="13">
        <v>35290.0</v>
      </c>
      <c r="F50" s="13" t="s">
        <v>52</v>
      </c>
      <c r="G50" s="13" t="s">
        <v>2508</v>
      </c>
      <c r="H50" s="13"/>
      <c r="I50" s="13" t="s">
        <v>2509</v>
      </c>
      <c r="J50" s="13"/>
      <c r="K50" s="13"/>
      <c r="L50" s="13"/>
      <c r="M50" s="13"/>
      <c r="N50" s="13" t="s">
        <v>2510</v>
      </c>
      <c r="O50" s="13" t="s">
        <v>2469</v>
      </c>
    </row>
    <row r="51" ht="15.75" customHeight="1">
      <c r="A51" s="13" t="s">
        <v>2511</v>
      </c>
      <c r="B51" s="13" t="s">
        <v>2030</v>
      </c>
      <c r="C51" s="13" t="s">
        <v>46</v>
      </c>
      <c r="D51" s="13" t="s">
        <v>1692</v>
      </c>
      <c r="E51" s="13">
        <v>35760.0</v>
      </c>
      <c r="F51" s="13" t="s">
        <v>52</v>
      </c>
      <c r="G51" s="13" t="s">
        <v>2512</v>
      </c>
      <c r="H51" s="13"/>
      <c r="I51" s="13" t="s">
        <v>2513</v>
      </c>
      <c r="J51" s="13"/>
      <c r="K51" s="13"/>
      <c r="L51" s="13"/>
      <c r="M51" s="13"/>
      <c r="N51" s="13" t="s">
        <v>2514</v>
      </c>
      <c r="O51" s="13" t="s">
        <v>2469</v>
      </c>
    </row>
    <row r="52" ht="15.75" customHeight="1">
      <c r="A52" s="13" t="s">
        <v>2515</v>
      </c>
      <c r="B52" s="13" t="s">
        <v>2030</v>
      </c>
      <c r="C52" s="13" t="s">
        <v>46</v>
      </c>
      <c r="D52" s="13" t="s">
        <v>2516</v>
      </c>
      <c r="E52" s="13">
        <v>35170.0</v>
      </c>
      <c r="F52" s="13" t="s">
        <v>52</v>
      </c>
      <c r="G52" s="13" t="s">
        <v>2517</v>
      </c>
      <c r="H52" s="13"/>
      <c r="I52" s="13" t="s">
        <v>2518</v>
      </c>
      <c r="J52" s="13"/>
      <c r="K52" s="13"/>
      <c r="L52" s="13"/>
      <c r="M52" s="13"/>
      <c r="N52" s="13" t="s">
        <v>2519</v>
      </c>
      <c r="O52" s="13" t="s">
        <v>2469</v>
      </c>
      <c r="P52" s="9" t="s">
        <v>2520</v>
      </c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5.75" customHeight="1">
      <c r="A54" s="13" t="s">
        <v>2521</v>
      </c>
      <c r="B54" s="13" t="s">
        <v>2030</v>
      </c>
      <c r="C54" s="13" t="s">
        <v>46</v>
      </c>
      <c r="D54" s="13" t="s">
        <v>1422</v>
      </c>
      <c r="E54" s="13">
        <v>53000.0</v>
      </c>
      <c r="F54" s="13" t="s">
        <v>37</v>
      </c>
      <c r="G54" s="13" t="s">
        <v>2522</v>
      </c>
      <c r="H54" s="13"/>
      <c r="I54" s="13" t="s">
        <v>2523</v>
      </c>
      <c r="J54" s="13"/>
      <c r="K54" s="13"/>
      <c r="L54" s="13"/>
      <c r="M54" s="13"/>
      <c r="N54" s="13" t="s">
        <v>2524</v>
      </c>
      <c r="O54" s="13" t="s">
        <v>2525</v>
      </c>
    </row>
    <row r="55" ht="15.75" customHeight="1">
      <c r="A55" s="13" t="s">
        <v>2526</v>
      </c>
      <c r="B55" s="13" t="s">
        <v>2030</v>
      </c>
      <c r="C55" s="13" t="s">
        <v>46</v>
      </c>
      <c r="D55" s="13" t="s">
        <v>1884</v>
      </c>
      <c r="E55" s="13">
        <v>53100.0</v>
      </c>
      <c r="F55" s="13" t="s">
        <v>37</v>
      </c>
      <c r="G55" s="13" t="s">
        <v>2527</v>
      </c>
      <c r="H55" s="13"/>
      <c r="I55" s="13" t="s">
        <v>2528</v>
      </c>
      <c r="J55" s="13"/>
      <c r="K55" s="13"/>
      <c r="L55" s="13"/>
      <c r="M55" s="13"/>
      <c r="N55" s="13" t="s">
        <v>2529</v>
      </c>
      <c r="O55" s="13" t="s">
        <v>2530</v>
      </c>
    </row>
    <row r="56" ht="15.75" customHeight="1">
      <c r="A56" s="13" t="s">
        <v>2531</v>
      </c>
      <c r="B56" s="13" t="s">
        <v>2030</v>
      </c>
      <c r="C56" s="13" t="s">
        <v>46</v>
      </c>
      <c r="D56" s="13" t="s">
        <v>2532</v>
      </c>
      <c r="E56" s="13">
        <v>53100.0</v>
      </c>
      <c r="F56" s="13" t="s">
        <v>37</v>
      </c>
      <c r="G56" s="13" t="s">
        <v>2533</v>
      </c>
      <c r="H56" s="13"/>
      <c r="I56" s="13" t="s">
        <v>2534</v>
      </c>
      <c r="J56" s="13"/>
      <c r="K56" s="13"/>
      <c r="L56" s="13"/>
      <c r="M56" s="13"/>
      <c r="N56" s="13" t="s">
        <v>2535</v>
      </c>
      <c r="O56" s="13" t="s">
        <v>64</v>
      </c>
    </row>
    <row r="57" ht="15.75" customHeight="1">
      <c r="A57" s="13" t="s">
        <v>2536</v>
      </c>
      <c r="B57" s="13" t="s">
        <v>2030</v>
      </c>
      <c r="C57" s="13" t="s">
        <v>46</v>
      </c>
      <c r="D57" s="13" t="s">
        <v>2537</v>
      </c>
      <c r="E57" s="13">
        <v>53940.0</v>
      </c>
      <c r="F57" s="13" t="s">
        <v>37</v>
      </c>
      <c r="G57" s="13" t="s">
        <v>2538</v>
      </c>
      <c r="H57" s="13"/>
      <c r="I57" s="13" t="s">
        <v>2539</v>
      </c>
      <c r="J57" s="13"/>
      <c r="K57" s="13" t="s">
        <v>2540</v>
      </c>
      <c r="L57" s="13" t="s">
        <v>2541</v>
      </c>
      <c r="M57" s="13">
        <v>2007.0</v>
      </c>
      <c r="N57" s="13" t="s">
        <v>2175</v>
      </c>
      <c r="O57" s="13" t="s">
        <v>64</v>
      </c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5.75" customHeight="1">
      <c r="A59" s="13" t="s">
        <v>2542</v>
      </c>
      <c r="B59" s="13" t="s">
        <v>2030</v>
      </c>
      <c r="C59" s="13" t="s">
        <v>46</v>
      </c>
      <c r="D59" s="13" t="s">
        <v>1958</v>
      </c>
      <c r="E59" s="13">
        <v>85340.0</v>
      </c>
      <c r="F59" s="13" t="s">
        <v>47</v>
      </c>
      <c r="G59" s="13" t="s">
        <v>2543</v>
      </c>
      <c r="I59" s="13" t="s">
        <v>2544</v>
      </c>
      <c r="J59" s="13"/>
      <c r="K59" s="13"/>
      <c r="L59" s="13"/>
      <c r="M59" s="13"/>
      <c r="N59" s="13" t="s">
        <v>2545</v>
      </c>
      <c r="O59" s="13" t="s">
        <v>2469</v>
      </c>
    </row>
    <row r="60" ht="15.75" customHeight="1">
      <c r="A60" s="13" t="s">
        <v>2546</v>
      </c>
      <c r="B60" s="13" t="s">
        <v>2030</v>
      </c>
      <c r="C60" s="13" t="s">
        <v>46</v>
      </c>
      <c r="D60" s="13" t="s">
        <v>1958</v>
      </c>
      <c r="E60" s="13">
        <v>85100.0</v>
      </c>
      <c r="F60" s="13" t="s">
        <v>47</v>
      </c>
      <c r="G60" s="13" t="s">
        <v>2547</v>
      </c>
      <c r="H60" s="13"/>
      <c r="I60" s="13" t="s">
        <v>2548</v>
      </c>
      <c r="J60" s="13"/>
      <c r="K60" s="13"/>
      <c r="L60" s="13"/>
      <c r="M60" s="13"/>
      <c r="N60" s="13" t="s">
        <v>2514</v>
      </c>
      <c r="O60" s="13" t="s">
        <v>2469</v>
      </c>
    </row>
    <row r="61" ht="15.75" customHeight="1">
      <c r="A61" s="13" t="s">
        <v>2549</v>
      </c>
      <c r="B61" s="13" t="s">
        <v>2030</v>
      </c>
      <c r="C61" s="13" t="s">
        <v>46</v>
      </c>
      <c r="D61" s="13" t="s">
        <v>2550</v>
      </c>
      <c r="E61" s="13">
        <v>85260.0</v>
      </c>
      <c r="F61" s="13" t="s">
        <v>47</v>
      </c>
      <c r="G61" s="44" t="s">
        <v>2551</v>
      </c>
      <c r="H61" s="13"/>
      <c r="I61" s="13" t="s">
        <v>2552</v>
      </c>
      <c r="J61" s="13"/>
      <c r="K61" s="13"/>
      <c r="L61" s="13"/>
      <c r="M61" s="13"/>
      <c r="N61" s="13" t="s">
        <v>2485</v>
      </c>
      <c r="O61" s="13" t="s">
        <v>2469</v>
      </c>
    </row>
    <row r="62" ht="15.75" customHeight="1">
      <c r="A62" s="13" t="s">
        <v>2553</v>
      </c>
      <c r="B62" s="13" t="s">
        <v>2030</v>
      </c>
      <c r="C62" s="13" t="s">
        <v>46</v>
      </c>
      <c r="D62" s="13" t="s">
        <v>2554</v>
      </c>
      <c r="E62" s="13">
        <v>85330.0</v>
      </c>
      <c r="F62" s="13" t="s">
        <v>47</v>
      </c>
      <c r="G62" s="13" t="s">
        <v>2555</v>
      </c>
      <c r="H62" s="13"/>
      <c r="I62" s="13" t="s">
        <v>2556</v>
      </c>
      <c r="J62" s="13"/>
      <c r="K62" s="13"/>
      <c r="L62" s="13"/>
      <c r="M62" s="13"/>
      <c r="N62" s="13" t="s">
        <v>2495</v>
      </c>
      <c r="O62" s="13" t="s">
        <v>2469</v>
      </c>
    </row>
    <row r="63" ht="15.75" customHeight="1">
      <c r="A63" s="13" t="s">
        <v>2557</v>
      </c>
      <c r="B63" s="13" t="s">
        <v>2030</v>
      </c>
      <c r="C63" s="13" t="s">
        <v>46</v>
      </c>
      <c r="D63" s="13" t="s">
        <v>2558</v>
      </c>
      <c r="E63" s="13">
        <v>85600.0</v>
      </c>
      <c r="F63" s="13" t="s">
        <v>47</v>
      </c>
      <c r="G63" s="13" t="s">
        <v>2559</v>
      </c>
      <c r="H63" s="13"/>
      <c r="I63" s="13" t="s">
        <v>2560</v>
      </c>
      <c r="J63" s="13"/>
      <c r="K63" s="13"/>
      <c r="L63" s="13"/>
      <c r="M63" s="13"/>
      <c r="N63" s="13" t="s">
        <v>2561</v>
      </c>
      <c r="O63" s="13" t="s">
        <v>2469</v>
      </c>
    </row>
    <row r="64" ht="15.75" customHeight="1">
      <c r="A64" s="13" t="s">
        <v>2562</v>
      </c>
      <c r="B64" s="13" t="s">
        <v>2030</v>
      </c>
      <c r="C64" s="13" t="s">
        <v>46</v>
      </c>
      <c r="D64" s="13" t="s">
        <v>1958</v>
      </c>
      <c r="E64" s="13">
        <v>85100.0</v>
      </c>
      <c r="F64" s="13" t="s">
        <v>47</v>
      </c>
      <c r="G64" s="13" t="s">
        <v>2563</v>
      </c>
      <c r="H64" s="13"/>
      <c r="I64" s="13" t="s">
        <v>2564</v>
      </c>
      <c r="J64" s="13"/>
      <c r="K64" s="13"/>
      <c r="L64" s="13"/>
      <c r="M64" s="13"/>
      <c r="N64" s="13" t="s">
        <v>2565</v>
      </c>
      <c r="O64" s="13" t="s">
        <v>2566</v>
      </c>
    </row>
    <row r="65" ht="15.75" customHeight="1">
      <c r="A65" s="13" t="s">
        <v>2567</v>
      </c>
      <c r="B65" s="13" t="s">
        <v>2030</v>
      </c>
      <c r="C65" s="13" t="s">
        <v>46</v>
      </c>
      <c r="D65" s="13" t="s">
        <v>1975</v>
      </c>
      <c r="E65" s="13">
        <v>85800.0</v>
      </c>
      <c r="F65" s="13" t="s">
        <v>47</v>
      </c>
      <c r="G65" s="13" t="s">
        <v>2568</v>
      </c>
      <c r="I65" s="13" t="s">
        <v>2569</v>
      </c>
      <c r="J65" s="13"/>
      <c r="K65" s="13"/>
      <c r="L65" s="13"/>
      <c r="M65" s="13"/>
      <c r="N65" s="13" t="s">
        <v>867</v>
      </c>
      <c r="O65" s="13" t="s">
        <v>2566</v>
      </c>
    </row>
    <row r="66" ht="15.75" customHeight="1">
      <c r="A66" s="13" t="s">
        <v>2570</v>
      </c>
      <c r="B66" s="13" t="s">
        <v>2030</v>
      </c>
      <c r="C66" s="13" t="s">
        <v>46</v>
      </c>
      <c r="D66" s="13" t="s">
        <v>2571</v>
      </c>
      <c r="E66" s="13">
        <v>85220.0</v>
      </c>
      <c r="F66" s="13" t="s">
        <v>47</v>
      </c>
      <c r="G66" s="13" t="s">
        <v>2572</v>
      </c>
      <c r="H66" s="13"/>
      <c r="I66" s="13" t="s">
        <v>2573</v>
      </c>
      <c r="J66" s="13"/>
      <c r="K66" s="13"/>
      <c r="L66" s="13"/>
      <c r="M66" s="13"/>
      <c r="N66" s="13" t="s">
        <v>2574</v>
      </c>
      <c r="O66" s="13" t="s">
        <v>2469</v>
      </c>
    </row>
    <row r="67" ht="15.75" customHeight="1">
      <c r="A67" s="13" t="s">
        <v>2575</v>
      </c>
      <c r="B67" s="13" t="s">
        <v>2030</v>
      </c>
      <c r="C67" s="13" t="s">
        <v>46</v>
      </c>
      <c r="D67" s="13" t="s">
        <v>2576</v>
      </c>
      <c r="E67" s="13">
        <v>85320.0</v>
      </c>
      <c r="F67" s="13" t="s">
        <v>47</v>
      </c>
      <c r="G67" s="13" t="s">
        <v>2577</v>
      </c>
      <c r="I67" s="13" t="s">
        <v>2579</v>
      </c>
      <c r="J67" s="13"/>
      <c r="K67" s="13"/>
      <c r="L67" s="13"/>
      <c r="M67" s="13"/>
      <c r="N67" s="13" t="s">
        <v>2490</v>
      </c>
      <c r="O67" s="13" t="s">
        <v>2469</v>
      </c>
      <c r="P67" s="9" t="s">
        <v>2580</v>
      </c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5.75" customHeight="1">
      <c r="A69" s="13" t="s">
        <v>2582</v>
      </c>
      <c r="B69" s="13" t="s">
        <v>2030</v>
      </c>
      <c r="C69" s="13" t="s">
        <v>46</v>
      </c>
      <c r="D69" s="13" t="s">
        <v>2583</v>
      </c>
      <c r="E69" s="13">
        <v>56290.0</v>
      </c>
      <c r="F69" s="13" t="s">
        <v>42</v>
      </c>
      <c r="G69" s="13" t="s">
        <v>2584</v>
      </c>
      <c r="H69" s="13"/>
      <c r="I69" s="13" t="s">
        <v>2585</v>
      </c>
      <c r="J69" s="13"/>
      <c r="K69" s="13"/>
      <c r="L69" s="13"/>
      <c r="M69" s="13"/>
      <c r="N69" s="13" t="s">
        <v>2485</v>
      </c>
      <c r="O69" s="13" t="s">
        <v>2469</v>
      </c>
    </row>
    <row r="70" ht="15.75" customHeight="1">
      <c r="A70" s="13" t="s">
        <v>2588</v>
      </c>
      <c r="B70" s="13" t="s">
        <v>2030</v>
      </c>
      <c r="C70" s="13" t="s">
        <v>46</v>
      </c>
      <c r="D70" s="13" t="s">
        <v>2115</v>
      </c>
      <c r="E70" s="13">
        <v>56340.0</v>
      </c>
      <c r="F70" s="13" t="s">
        <v>42</v>
      </c>
      <c r="G70" s="13" t="s">
        <v>2590</v>
      </c>
      <c r="H70" s="13"/>
      <c r="I70" s="13" t="s">
        <v>2591</v>
      </c>
      <c r="J70" s="13"/>
      <c r="K70" s="13"/>
      <c r="L70" s="13"/>
      <c r="M70" s="13"/>
      <c r="N70" s="13" t="s">
        <v>2593</v>
      </c>
      <c r="O70" s="13" t="s">
        <v>2469</v>
      </c>
    </row>
    <row r="71" ht="15.75" customHeight="1">
      <c r="A71" s="13" t="s">
        <v>2594</v>
      </c>
      <c r="B71" s="13" t="s">
        <v>2030</v>
      </c>
      <c r="C71" s="13" t="s">
        <v>46</v>
      </c>
      <c r="D71" s="13" t="s">
        <v>2062</v>
      </c>
      <c r="E71" s="13">
        <v>56000.0</v>
      </c>
      <c r="F71" s="13" t="s">
        <v>42</v>
      </c>
      <c r="G71" s="13" t="s">
        <v>2596</v>
      </c>
      <c r="H71" s="13"/>
      <c r="I71" s="13" t="s">
        <v>2598</v>
      </c>
      <c r="J71" s="13"/>
      <c r="K71" s="13"/>
      <c r="L71" s="13"/>
      <c r="M71" s="13"/>
      <c r="N71" s="13" t="s">
        <v>867</v>
      </c>
      <c r="O71" s="13" t="s">
        <v>2566</v>
      </c>
    </row>
    <row r="72" ht="15.75" customHeight="1">
      <c r="A72" s="13" t="s">
        <v>2600</v>
      </c>
      <c r="B72" s="13" t="s">
        <v>2030</v>
      </c>
      <c r="C72" s="13" t="s">
        <v>46</v>
      </c>
      <c r="D72" s="13" t="s">
        <v>2115</v>
      </c>
      <c r="E72" s="13">
        <v>56340.0</v>
      </c>
      <c r="F72" s="13" t="s">
        <v>42</v>
      </c>
      <c r="G72" s="13" t="s">
        <v>2603</v>
      </c>
      <c r="H72" s="13"/>
      <c r="I72" s="13" t="s">
        <v>2605</v>
      </c>
      <c r="J72" s="13"/>
      <c r="K72" s="13"/>
      <c r="L72" s="13"/>
      <c r="M72" s="13"/>
      <c r="N72" s="13" t="s">
        <v>2607</v>
      </c>
      <c r="O72" s="13" t="s">
        <v>2566</v>
      </c>
    </row>
    <row r="73" ht="15.75" customHeight="1">
      <c r="A73" s="13" t="s">
        <v>2608</v>
      </c>
      <c r="B73" s="13" t="s">
        <v>2030</v>
      </c>
      <c r="C73" s="13" t="s">
        <v>46</v>
      </c>
      <c r="D73" s="13" t="s">
        <v>2156</v>
      </c>
      <c r="E73" s="13">
        <v>56100.0</v>
      </c>
      <c r="F73" s="13" t="s">
        <v>42</v>
      </c>
      <c r="G73" s="13" t="s">
        <v>2610</v>
      </c>
      <c r="H73" s="13"/>
      <c r="I73" s="13" t="s">
        <v>2611</v>
      </c>
      <c r="J73" s="13"/>
      <c r="K73" s="13"/>
      <c r="L73" s="13"/>
      <c r="M73" s="13"/>
      <c r="N73" s="13" t="s">
        <v>867</v>
      </c>
      <c r="O73" s="13" t="s">
        <v>2566</v>
      </c>
    </row>
    <row r="74" ht="15.75" customHeight="1">
      <c r="A74" s="13" t="s">
        <v>2613</v>
      </c>
      <c r="B74" s="13" t="s">
        <v>2030</v>
      </c>
      <c r="C74" s="13" t="s">
        <v>46</v>
      </c>
      <c r="D74" s="13" t="s">
        <v>2115</v>
      </c>
      <c r="E74" s="13">
        <v>56340.0</v>
      </c>
      <c r="F74" s="13" t="s">
        <v>42</v>
      </c>
      <c r="G74" s="13" t="s">
        <v>2616</v>
      </c>
      <c r="H74" s="13"/>
      <c r="I74" s="13" t="s">
        <v>2618</v>
      </c>
      <c r="J74" s="13"/>
      <c r="K74" s="13"/>
      <c r="L74" s="13"/>
      <c r="M74" s="13"/>
      <c r="N74" s="13" t="s">
        <v>867</v>
      </c>
      <c r="O74" s="13" t="s">
        <v>2566</v>
      </c>
    </row>
    <row r="75" ht="15.75" customHeight="1">
      <c r="A75" s="13" t="s">
        <v>2621</v>
      </c>
      <c r="B75" s="13" t="s">
        <v>2030</v>
      </c>
      <c r="C75" s="13" t="s">
        <v>46</v>
      </c>
      <c r="D75" s="13" t="s">
        <v>2062</v>
      </c>
      <c r="E75" s="13">
        <v>56000.0</v>
      </c>
      <c r="F75" s="13" t="s">
        <v>42</v>
      </c>
      <c r="G75" s="13" t="s">
        <v>2623</v>
      </c>
      <c r="H75" s="13"/>
      <c r="I75" s="13" t="s">
        <v>2625</v>
      </c>
      <c r="J75" s="13"/>
      <c r="K75" s="13"/>
      <c r="L75" s="13"/>
      <c r="M75" s="13"/>
      <c r="N75" s="13" t="s">
        <v>2627</v>
      </c>
      <c r="O75" s="13" t="s">
        <v>2469</v>
      </c>
    </row>
    <row r="76" ht="15.75" customHeight="1">
      <c r="A76" s="13" t="s">
        <v>2629</v>
      </c>
      <c r="B76" s="13" t="s">
        <v>2030</v>
      </c>
      <c r="C76" s="13" t="s">
        <v>46</v>
      </c>
      <c r="D76" s="13" t="s">
        <v>2062</v>
      </c>
      <c r="E76" s="13">
        <v>56000.0</v>
      </c>
      <c r="F76" s="13" t="s">
        <v>42</v>
      </c>
      <c r="G76" s="13" t="s">
        <v>2630</v>
      </c>
      <c r="H76" s="13"/>
      <c r="I76" s="13" t="s">
        <v>2631</v>
      </c>
      <c r="J76" s="13"/>
      <c r="K76" s="13"/>
      <c r="L76" s="13"/>
      <c r="M76" s="13"/>
      <c r="N76" s="13" t="s">
        <v>2633</v>
      </c>
      <c r="O76" s="13" t="s">
        <v>2469</v>
      </c>
    </row>
    <row r="77" ht="15.75" customHeight="1">
      <c r="A77" s="13" t="s">
        <v>2634</v>
      </c>
      <c r="B77" s="13" t="s">
        <v>2030</v>
      </c>
      <c r="C77" s="13" t="s">
        <v>46</v>
      </c>
      <c r="D77" s="13" t="s">
        <v>2635</v>
      </c>
      <c r="E77" s="13">
        <v>56870.0</v>
      </c>
      <c r="F77" s="13" t="s">
        <v>42</v>
      </c>
      <c r="G77" s="13" t="s">
        <v>2636</v>
      </c>
      <c r="H77" s="13"/>
      <c r="I77" s="13" t="s">
        <v>2637</v>
      </c>
      <c r="J77" s="13"/>
      <c r="K77" s="13"/>
      <c r="L77" s="13"/>
      <c r="M77" s="13"/>
      <c r="N77" s="13" t="s">
        <v>2633</v>
      </c>
      <c r="O77" s="13" t="s">
        <v>2469</v>
      </c>
    </row>
    <row r="78" ht="15.75" customHeight="1">
      <c r="A78" s="13" t="s">
        <v>2638</v>
      </c>
      <c r="B78" s="13" t="s">
        <v>2030</v>
      </c>
      <c r="C78" s="13" t="s">
        <v>46</v>
      </c>
      <c r="D78" s="13" t="s">
        <v>2639</v>
      </c>
      <c r="E78" s="13">
        <v>56890.0</v>
      </c>
      <c r="F78" s="13" t="s">
        <v>42</v>
      </c>
      <c r="G78" s="13" t="s">
        <v>2640</v>
      </c>
      <c r="H78" s="13"/>
      <c r="I78" s="13" t="s">
        <v>2641</v>
      </c>
      <c r="J78" s="13"/>
      <c r="K78" s="13"/>
      <c r="L78" s="13"/>
      <c r="M78" s="13"/>
      <c r="N78" s="13" t="s">
        <v>2642</v>
      </c>
      <c r="O78" s="13" t="s">
        <v>2469</v>
      </c>
    </row>
    <row r="79" ht="15.75" customHeight="1">
      <c r="A79" s="13" t="s">
        <v>2644</v>
      </c>
      <c r="B79" s="13" t="s">
        <v>2030</v>
      </c>
      <c r="C79" s="13" t="s">
        <v>46</v>
      </c>
      <c r="D79" s="13" t="s">
        <v>2645</v>
      </c>
      <c r="E79" s="13">
        <v>56380.0</v>
      </c>
      <c r="F79" s="13" t="s">
        <v>42</v>
      </c>
      <c r="G79" s="13" t="s">
        <v>2647</v>
      </c>
      <c r="H79" s="13"/>
      <c r="I79" s="13" t="s">
        <v>2648</v>
      </c>
      <c r="J79" s="13"/>
      <c r="K79" s="13"/>
      <c r="L79" s="13"/>
      <c r="M79" s="13"/>
      <c r="N79" s="13" t="s">
        <v>2649</v>
      </c>
      <c r="O79" s="13" t="s">
        <v>2469</v>
      </c>
    </row>
    <row r="80" ht="15.75" customHeight="1">
      <c r="A80" s="34"/>
    </row>
    <row r="81" ht="15.75" customHeight="1">
      <c r="A81" s="34"/>
    </row>
    <row r="82" ht="15.75" customHeight="1">
      <c r="A82" s="34"/>
    </row>
    <row r="83" ht="15.75" customHeight="1">
      <c r="A83" s="34"/>
    </row>
    <row r="84" ht="15.75" customHeight="1">
      <c r="A84" s="34"/>
    </row>
    <row r="85" ht="15.75" customHeight="1">
      <c r="A85" s="34"/>
    </row>
    <row r="86" ht="15.75" customHeight="1">
      <c r="A86" s="34"/>
    </row>
    <row r="87" ht="15.75" customHeight="1">
      <c r="A87" s="34"/>
    </row>
    <row r="88" ht="15.75" customHeight="1">
      <c r="A88" s="34"/>
    </row>
    <row r="89" ht="15.75" customHeight="1">
      <c r="A89" s="34"/>
    </row>
    <row r="90" ht="15.75" customHeight="1">
      <c r="A90" s="34"/>
    </row>
    <row r="91" ht="15.75" customHeight="1">
      <c r="A91" s="34"/>
    </row>
    <row r="92" ht="15.75" customHeight="1">
      <c r="A92" s="34"/>
    </row>
    <row r="93" ht="15.75" customHeight="1">
      <c r="A93" s="34"/>
    </row>
    <row r="94" ht="15.75" customHeight="1">
      <c r="A94" s="34"/>
    </row>
    <row r="95" ht="15.75" customHeight="1">
      <c r="A95" s="34"/>
    </row>
    <row r="96" ht="15.75" customHeight="1">
      <c r="A96" s="34"/>
    </row>
    <row r="97" ht="15.75" customHeight="1">
      <c r="A97" s="34"/>
    </row>
    <row r="98" ht="15.75" customHeight="1">
      <c r="A98" s="34"/>
    </row>
    <row r="99" ht="15.75" customHeight="1">
      <c r="A99" s="34"/>
    </row>
    <row r="100" ht="15.75" customHeight="1">
      <c r="A100" s="34"/>
    </row>
    <row r="101" ht="15.75" customHeight="1">
      <c r="A101" s="34"/>
    </row>
    <row r="102" ht="15.75" customHeight="1">
      <c r="A102" s="34"/>
    </row>
    <row r="103" ht="15.75" customHeight="1">
      <c r="A103" s="34"/>
    </row>
    <row r="104" ht="15.75" customHeight="1">
      <c r="A104" s="34"/>
    </row>
    <row r="105" ht="15.75" customHeight="1">
      <c r="A105" s="34"/>
    </row>
    <row r="106" ht="15.75" customHeight="1">
      <c r="A106" s="34"/>
    </row>
    <row r="107" ht="15.75" customHeight="1">
      <c r="A107" s="34"/>
    </row>
    <row r="108" ht="15.75" customHeight="1">
      <c r="A108" s="34"/>
    </row>
    <row r="109" ht="15.75" customHeight="1">
      <c r="A109" s="34"/>
    </row>
    <row r="110" ht="15.75" customHeight="1">
      <c r="A110" s="34"/>
    </row>
    <row r="111" ht="15.75" customHeight="1">
      <c r="A111" s="34"/>
    </row>
    <row r="112" ht="15.75" customHeight="1">
      <c r="A112" s="34"/>
    </row>
    <row r="113" ht="15.75" customHeight="1">
      <c r="A113" s="34"/>
    </row>
    <row r="114" ht="15.75" customHeight="1">
      <c r="A114" s="34"/>
    </row>
    <row r="115" ht="15.75" customHeight="1">
      <c r="A115" s="34"/>
    </row>
    <row r="116" ht="15.75" customHeight="1">
      <c r="A116" s="34"/>
    </row>
    <row r="117" ht="15.75" customHeight="1">
      <c r="A117" s="34"/>
    </row>
    <row r="118" ht="15.75" customHeight="1">
      <c r="A118" s="34"/>
    </row>
    <row r="119" ht="15.75" customHeight="1">
      <c r="A119" s="34"/>
    </row>
    <row r="120" ht="15.75" customHeight="1">
      <c r="A120" s="34"/>
    </row>
    <row r="121" ht="15.75" customHeight="1">
      <c r="A121" s="34"/>
    </row>
    <row r="122" ht="15.75" customHeight="1">
      <c r="A122" s="34"/>
    </row>
    <row r="123" ht="15.75" customHeight="1">
      <c r="A123" s="34"/>
    </row>
    <row r="124" ht="15.75" customHeight="1">
      <c r="A124" s="34"/>
    </row>
    <row r="125" ht="15.75" customHeight="1">
      <c r="A125" s="34"/>
    </row>
    <row r="126" ht="15.75" customHeight="1">
      <c r="A126" s="34"/>
    </row>
    <row r="127" ht="15.75" customHeight="1">
      <c r="A127" s="34"/>
    </row>
    <row r="128" ht="15.75" customHeight="1">
      <c r="A128" s="34"/>
    </row>
    <row r="129" ht="15.75" customHeight="1">
      <c r="A129" s="34"/>
    </row>
    <row r="130" ht="15.75" customHeight="1">
      <c r="A130" s="34"/>
    </row>
    <row r="131" ht="15.75" customHeight="1">
      <c r="A131" s="34"/>
    </row>
    <row r="132" ht="15.75" customHeight="1">
      <c r="A132" s="34"/>
    </row>
    <row r="133" ht="15.75" customHeight="1">
      <c r="A133" s="34"/>
    </row>
    <row r="134" ht="15.75" customHeight="1">
      <c r="A134" s="34"/>
    </row>
    <row r="135" ht="15.75" customHeight="1">
      <c r="A135" s="34"/>
    </row>
    <row r="136" ht="15.75" customHeight="1">
      <c r="A136" s="34"/>
    </row>
    <row r="137" ht="15.75" customHeight="1">
      <c r="A137" s="34"/>
    </row>
    <row r="138" ht="15.75" customHeight="1">
      <c r="A138" s="34"/>
    </row>
    <row r="139" ht="15.75" customHeight="1">
      <c r="A139" s="34"/>
    </row>
    <row r="140" ht="15.75" customHeight="1">
      <c r="A140" s="34"/>
    </row>
    <row r="141" ht="15.75" customHeight="1">
      <c r="A141" s="34"/>
    </row>
    <row r="142" ht="15.75" customHeight="1">
      <c r="A142" s="34"/>
    </row>
    <row r="143" ht="15.75" customHeight="1">
      <c r="A143" s="34"/>
    </row>
    <row r="144" ht="15.75" customHeight="1">
      <c r="A144" s="34"/>
    </row>
    <row r="145" ht="15.75" customHeight="1">
      <c r="A145" s="34"/>
    </row>
    <row r="146" ht="15.75" customHeight="1">
      <c r="A146" s="34"/>
    </row>
    <row r="147" ht="15.75" customHeight="1">
      <c r="A147" s="34"/>
    </row>
    <row r="148" ht="15.75" customHeight="1">
      <c r="A148" s="34"/>
    </row>
    <row r="149" ht="15.75" customHeight="1">
      <c r="A149" s="34"/>
    </row>
    <row r="150" ht="15.75" customHeight="1">
      <c r="A150" s="34"/>
    </row>
    <row r="151" ht="15.75" customHeight="1">
      <c r="A151" s="34"/>
    </row>
    <row r="152" ht="15.75" customHeight="1">
      <c r="A152" s="34"/>
    </row>
    <row r="153" ht="15.75" customHeight="1">
      <c r="A153" s="34"/>
    </row>
    <row r="154" ht="15.75" customHeight="1">
      <c r="A154" s="34"/>
    </row>
    <row r="155" ht="15.75" customHeight="1">
      <c r="A155" s="34"/>
    </row>
    <row r="156" ht="15.75" customHeight="1">
      <c r="A156" s="34"/>
    </row>
    <row r="157" ht="15.75" customHeight="1">
      <c r="A157" s="34"/>
    </row>
    <row r="158" ht="15.75" customHeight="1">
      <c r="A158" s="34"/>
    </row>
    <row r="159" ht="15.75" customHeight="1">
      <c r="A159" s="34"/>
    </row>
    <row r="160" ht="15.75" customHeight="1">
      <c r="A160" s="34"/>
    </row>
    <row r="161" ht="15.75" customHeight="1">
      <c r="A161" s="34"/>
    </row>
    <row r="162" ht="15.75" customHeight="1">
      <c r="A162" s="34"/>
    </row>
    <row r="163" ht="15.75" customHeight="1">
      <c r="A163" s="34"/>
    </row>
    <row r="164" ht="15.75" customHeight="1">
      <c r="A164" s="34"/>
    </row>
    <row r="165" ht="15.75" customHeight="1">
      <c r="A165" s="34"/>
    </row>
    <row r="166" ht="15.75" customHeight="1">
      <c r="A166" s="34"/>
    </row>
    <row r="167" ht="15.75" customHeight="1">
      <c r="A167" s="34"/>
    </row>
    <row r="168" ht="15.75" customHeight="1">
      <c r="A168" s="34"/>
    </row>
    <row r="169" ht="15.75" customHeight="1">
      <c r="A169" s="34"/>
    </row>
    <row r="170" ht="15.75" customHeight="1">
      <c r="A170" s="34"/>
    </row>
    <row r="171" ht="15.75" customHeight="1">
      <c r="A171" s="34"/>
    </row>
    <row r="172" ht="15.75" customHeight="1">
      <c r="A172" s="34"/>
    </row>
    <row r="173" ht="15.75" customHeight="1">
      <c r="A173" s="34"/>
    </row>
    <row r="174" ht="15.75" customHeight="1">
      <c r="A174" s="34"/>
    </row>
    <row r="175" ht="15.75" customHeight="1">
      <c r="A175" s="34"/>
    </row>
    <row r="176" ht="15.75" customHeight="1">
      <c r="A176" s="34"/>
    </row>
    <row r="177" ht="15.75" customHeight="1">
      <c r="A177" s="34"/>
    </row>
    <row r="178" ht="15.75" customHeight="1">
      <c r="A178" s="34"/>
    </row>
    <row r="179" ht="15.75" customHeight="1">
      <c r="A179" s="34"/>
    </row>
    <row r="180" ht="15.75" customHeight="1">
      <c r="A180" s="34"/>
    </row>
    <row r="181" ht="15.75" customHeight="1">
      <c r="A181" s="34"/>
    </row>
    <row r="182" ht="15.75" customHeight="1">
      <c r="A182" s="34"/>
    </row>
    <row r="183" ht="15.75" customHeight="1">
      <c r="A183" s="34"/>
    </row>
    <row r="184" ht="15.75" customHeight="1">
      <c r="A184" s="34"/>
    </row>
    <row r="185" ht="15.75" customHeight="1">
      <c r="A185" s="34"/>
    </row>
    <row r="186" ht="15.75" customHeight="1">
      <c r="A186" s="34"/>
    </row>
    <row r="187" ht="15.75" customHeight="1">
      <c r="A187" s="34"/>
    </row>
    <row r="188" ht="15.75" customHeight="1">
      <c r="A188" s="34"/>
    </row>
    <row r="189" ht="15.75" customHeight="1">
      <c r="A189" s="34"/>
    </row>
    <row r="190" ht="15.75" customHeight="1">
      <c r="A190" s="34"/>
    </row>
    <row r="191" ht="15.75" customHeight="1">
      <c r="A191" s="34"/>
    </row>
    <row r="192" ht="15.75" customHeight="1">
      <c r="A192" s="34"/>
    </row>
    <row r="193" ht="15.75" customHeight="1">
      <c r="A193" s="34"/>
    </row>
    <row r="194" ht="15.75" customHeight="1">
      <c r="A194" s="34"/>
    </row>
    <row r="195" ht="15.75" customHeight="1">
      <c r="A195" s="34"/>
    </row>
    <row r="196" ht="15.75" customHeight="1">
      <c r="A196" s="34"/>
    </row>
    <row r="197" ht="15.75" customHeight="1">
      <c r="A197" s="34"/>
    </row>
    <row r="198" ht="15.75" customHeight="1">
      <c r="A198" s="34"/>
    </row>
    <row r="199" ht="15.75" customHeight="1">
      <c r="A199" s="34"/>
    </row>
    <row r="200" ht="15.75" customHeight="1">
      <c r="A200" s="34"/>
    </row>
    <row r="201" ht="15.75" customHeight="1">
      <c r="A201" s="34"/>
    </row>
    <row r="202" ht="15.75" customHeight="1">
      <c r="A202" s="34"/>
    </row>
    <row r="203" ht="15.75" customHeight="1">
      <c r="A203" s="34"/>
    </row>
    <row r="204" ht="15.75" customHeight="1">
      <c r="A204" s="34"/>
    </row>
    <row r="205" ht="15.75" customHeight="1">
      <c r="A205" s="34"/>
    </row>
    <row r="206" ht="15.75" customHeight="1">
      <c r="A206" s="34"/>
    </row>
    <row r="207" ht="15.75" customHeight="1">
      <c r="A207" s="34"/>
    </row>
    <row r="208" ht="15.75" customHeight="1">
      <c r="A208" s="34"/>
    </row>
    <row r="209" ht="15.75" customHeight="1">
      <c r="A209" s="34"/>
    </row>
    <row r="210" ht="15.75" customHeight="1">
      <c r="A210" s="34"/>
    </row>
    <row r="211" ht="15.75" customHeight="1">
      <c r="A211" s="34"/>
    </row>
    <row r="212" ht="15.75" customHeight="1">
      <c r="A212" s="34"/>
    </row>
    <row r="213" ht="15.75" customHeight="1">
      <c r="A213" s="34"/>
    </row>
    <row r="214" ht="15.75" customHeight="1">
      <c r="A214" s="34"/>
    </row>
    <row r="215" ht="15.75" customHeight="1">
      <c r="A215" s="34"/>
    </row>
    <row r="216" ht="15.75" customHeight="1">
      <c r="A216" s="34"/>
    </row>
    <row r="217" ht="15.75" customHeight="1">
      <c r="A217" s="34"/>
    </row>
    <row r="218" ht="15.75" customHeight="1">
      <c r="A218" s="34"/>
    </row>
    <row r="219" ht="15.75" customHeight="1">
      <c r="A219" s="34"/>
    </row>
    <row r="220" ht="15.75" customHeight="1">
      <c r="A220" s="34"/>
    </row>
    <row r="221" ht="15.75" customHeight="1">
      <c r="A221" s="34"/>
    </row>
    <row r="222" ht="15.75" customHeight="1">
      <c r="A222" s="34"/>
    </row>
    <row r="223" ht="15.75" customHeight="1">
      <c r="A223" s="34"/>
    </row>
    <row r="224" ht="15.75" customHeight="1">
      <c r="A224" s="34"/>
    </row>
    <row r="225" ht="15.75" customHeight="1">
      <c r="A225" s="34"/>
    </row>
    <row r="226" ht="15.75" customHeight="1">
      <c r="A226" s="34"/>
    </row>
    <row r="227" ht="15.75" customHeight="1">
      <c r="A227" s="34"/>
    </row>
    <row r="228" ht="15.75" customHeight="1">
      <c r="A228" s="34"/>
    </row>
    <row r="229" ht="15.75" customHeight="1">
      <c r="A229" s="34"/>
    </row>
    <row r="230" ht="15.75" customHeight="1">
      <c r="A230" s="34"/>
    </row>
    <row r="231" ht="15.75" customHeight="1">
      <c r="A231" s="34"/>
    </row>
    <row r="232" ht="15.75" customHeight="1">
      <c r="A232" s="34"/>
    </row>
    <row r="233" ht="15.75" customHeight="1">
      <c r="A233" s="34"/>
    </row>
    <row r="234" ht="15.75" customHeight="1">
      <c r="A234" s="34"/>
    </row>
    <row r="235" ht="15.75" customHeight="1">
      <c r="A235" s="34"/>
    </row>
    <row r="236" ht="15.75" customHeight="1">
      <c r="A236" s="34"/>
    </row>
    <row r="237" ht="15.75" customHeight="1">
      <c r="A237" s="34"/>
    </row>
    <row r="238" ht="15.75" customHeight="1">
      <c r="A238" s="34"/>
    </row>
    <row r="239" ht="15.75" customHeight="1">
      <c r="A239" s="34"/>
    </row>
    <row r="240" ht="15.75" customHeight="1">
      <c r="A240" s="34"/>
    </row>
    <row r="241" ht="15.75" customHeight="1">
      <c r="A241" s="34"/>
    </row>
    <row r="242" ht="15.75" customHeight="1">
      <c r="A242" s="34"/>
    </row>
    <row r="243" ht="15.75" customHeight="1">
      <c r="A243" s="34"/>
    </row>
    <row r="244" ht="15.75" customHeight="1">
      <c r="A244" s="34"/>
    </row>
    <row r="245" ht="15.75" customHeight="1">
      <c r="A245" s="34"/>
    </row>
    <row r="246" ht="15.75" customHeight="1">
      <c r="A246" s="34"/>
    </row>
    <row r="247" ht="15.75" customHeight="1">
      <c r="A247" s="34"/>
    </row>
    <row r="248" ht="15.75" customHeight="1">
      <c r="A248" s="34"/>
    </row>
    <row r="249" ht="15.75" customHeight="1">
      <c r="A249" s="34"/>
    </row>
    <row r="250" ht="15.75" customHeight="1">
      <c r="A250" s="34"/>
    </row>
    <row r="251" ht="15.75" customHeight="1">
      <c r="A251" s="34"/>
    </row>
    <row r="252" ht="15.75" customHeight="1">
      <c r="A252" s="34"/>
    </row>
    <row r="253" ht="15.75" customHeight="1">
      <c r="A253" s="34"/>
    </row>
    <row r="254" ht="15.75" customHeight="1">
      <c r="A254" s="34"/>
    </row>
    <row r="255" ht="15.75" customHeight="1">
      <c r="A255" s="34"/>
    </row>
    <row r="256" ht="15.75" customHeight="1">
      <c r="A256" s="34"/>
    </row>
    <row r="257" ht="15.75" customHeight="1">
      <c r="A257" s="34"/>
    </row>
    <row r="258" ht="15.75" customHeight="1">
      <c r="A258" s="34"/>
    </row>
    <row r="259" ht="15.75" customHeight="1">
      <c r="A259" s="34"/>
    </row>
    <row r="260" ht="15.75" customHeight="1">
      <c r="A260" s="34"/>
    </row>
    <row r="261" ht="15.75" customHeight="1">
      <c r="A261" s="34"/>
    </row>
    <row r="262" ht="15.75" customHeight="1">
      <c r="A262" s="34"/>
    </row>
    <row r="263" ht="15.75" customHeight="1">
      <c r="A263" s="34"/>
    </row>
    <row r="264" ht="15.75" customHeight="1">
      <c r="A264" s="34"/>
    </row>
    <row r="265" ht="15.75" customHeight="1">
      <c r="A265" s="34"/>
    </row>
    <row r="266" ht="15.75" customHeight="1">
      <c r="A266" s="34"/>
    </row>
    <row r="267" ht="15.75" customHeight="1">
      <c r="A267" s="34"/>
    </row>
    <row r="268" ht="15.75" customHeight="1">
      <c r="A268" s="34"/>
    </row>
    <row r="269" ht="15.75" customHeight="1">
      <c r="A269" s="34"/>
    </row>
    <row r="270" ht="15.75" customHeight="1">
      <c r="A270" s="34"/>
    </row>
    <row r="271" ht="15.75" customHeight="1">
      <c r="A271" s="34"/>
    </row>
    <row r="272" ht="15.75" customHeight="1">
      <c r="A272" s="34"/>
    </row>
    <row r="273" ht="15.75" customHeight="1">
      <c r="A273" s="34"/>
    </row>
    <row r="274" ht="15.75" customHeight="1">
      <c r="A274" s="34"/>
    </row>
    <row r="275" ht="15.75" customHeight="1">
      <c r="A275" s="34"/>
    </row>
    <row r="276" ht="15.75" customHeight="1">
      <c r="A276" s="34"/>
    </row>
    <row r="277" ht="15.75" customHeight="1">
      <c r="A277" s="34"/>
    </row>
    <row r="278" ht="15.75" customHeight="1">
      <c r="A278" s="34"/>
    </row>
    <row r="279" ht="15.75" customHeight="1">
      <c r="A279" s="34"/>
    </row>
    <row r="280" ht="15.75" customHeight="1">
      <c r="A280" s="34"/>
    </row>
    <row r="281" ht="15.75" customHeight="1">
      <c r="A281" s="34"/>
    </row>
    <row r="282" ht="15.75" customHeight="1">
      <c r="A282" s="34"/>
    </row>
    <row r="283" ht="15.75" customHeight="1">
      <c r="A283" s="34"/>
    </row>
    <row r="284" ht="15.75" customHeight="1">
      <c r="A284" s="34"/>
    </row>
    <row r="285" ht="15.75" customHeight="1">
      <c r="A285" s="34"/>
    </row>
    <row r="286" ht="15.75" customHeight="1">
      <c r="A286" s="34"/>
    </row>
    <row r="287" ht="15.75" customHeight="1">
      <c r="A287" s="34"/>
    </row>
    <row r="288" ht="15.75" customHeight="1">
      <c r="A288" s="34"/>
    </row>
    <row r="289" ht="15.75" customHeight="1">
      <c r="A289" s="34"/>
    </row>
    <row r="290" ht="15.75" customHeight="1">
      <c r="A290" s="34"/>
    </row>
    <row r="291" ht="15.75" customHeight="1">
      <c r="A291" s="34"/>
    </row>
    <row r="292" ht="15.75" customHeight="1">
      <c r="A292" s="34"/>
    </row>
    <row r="293" ht="15.75" customHeight="1">
      <c r="A293" s="34"/>
    </row>
    <row r="294" ht="15.75" customHeight="1">
      <c r="A294" s="34"/>
    </row>
    <row r="295" ht="15.75" customHeight="1">
      <c r="A295" s="34"/>
    </row>
    <row r="296" ht="15.75" customHeight="1">
      <c r="A296" s="34"/>
    </row>
    <row r="297" ht="15.75" customHeight="1">
      <c r="A297" s="34"/>
    </row>
    <row r="298" ht="15.75" customHeight="1">
      <c r="A298" s="34"/>
    </row>
    <row r="299" ht="15.75" customHeight="1">
      <c r="A299" s="34"/>
    </row>
    <row r="300" ht="15.75" customHeight="1">
      <c r="A300" s="34"/>
    </row>
    <row r="301" ht="15.75" customHeight="1">
      <c r="A301" s="34"/>
    </row>
    <row r="302" ht="15.75" customHeight="1">
      <c r="A302" s="34"/>
    </row>
    <row r="303" ht="15.75" customHeight="1">
      <c r="A303" s="34"/>
    </row>
    <row r="304" ht="15.75" customHeight="1">
      <c r="A304" s="34"/>
    </row>
    <row r="305" ht="15.75" customHeight="1">
      <c r="A305" s="34"/>
    </row>
    <row r="306" ht="15.75" customHeight="1">
      <c r="A306" s="34"/>
    </row>
    <row r="307" ht="15.75" customHeight="1">
      <c r="A307" s="34"/>
    </row>
    <row r="308" ht="15.75" customHeight="1">
      <c r="A308" s="34"/>
    </row>
    <row r="309" ht="15.75" customHeight="1">
      <c r="A309" s="34"/>
    </row>
    <row r="310" ht="15.75" customHeight="1">
      <c r="A310" s="34"/>
    </row>
    <row r="311" ht="15.75" customHeight="1">
      <c r="A311" s="34"/>
    </row>
    <row r="312" ht="15.75" customHeight="1">
      <c r="A312" s="34"/>
    </row>
    <row r="313" ht="15.75" customHeight="1">
      <c r="A313" s="34"/>
    </row>
    <row r="314" ht="15.75" customHeight="1">
      <c r="A314" s="34"/>
    </row>
    <row r="315" ht="15.75" customHeight="1">
      <c r="A315" s="34"/>
    </row>
    <row r="316" ht="15.75" customHeight="1">
      <c r="A316" s="34"/>
    </row>
    <row r="317" ht="15.75" customHeight="1">
      <c r="A317" s="34"/>
    </row>
    <row r="318" ht="15.75" customHeight="1">
      <c r="A318" s="34"/>
    </row>
    <row r="319" ht="15.75" customHeight="1">
      <c r="A319" s="34"/>
    </row>
    <row r="320" ht="15.75" customHeight="1">
      <c r="A320" s="34"/>
    </row>
    <row r="321" ht="15.75" customHeight="1">
      <c r="A321" s="34"/>
    </row>
    <row r="322" ht="15.75" customHeight="1">
      <c r="A322" s="34"/>
    </row>
    <row r="323" ht="15.75" customHeight="1">
      <c r="A323" s="34"/>
    </row>
    <row r="324" ht="15.75" customHeight="1">
      <c r="A324" s="34"/>
    </row>
    <row r="325" ht="15.75" customHeight="1">
      <c r="A325" s="34"/>
    </row>
    <row r="326" ht="15.75" customHeight="1">
      <c r="A326" s="34"/>
    </row>
    <row r="327" ht="15.75" customHeight="1">
      <c r="A327" s="34"/>
    </row>
    <row r="328" ht="15.75" customHeight="1">
      <c r="A328" s="34"/>
    </row>
    <row r="329" ht="15.75" customHeight="1">
      <c r="A329" s="34"/>
    </row>
    <row r="330" ht="15.75" customHeight="1">
      <c r="A330" s="34"/>
    </row>
    <row r="331" ht="15.75" customHeight="1">
      <c r="A331" s="34"/>
    </row>
    <row r="332" ht="15.75" customHeight="1">
      <c r="A332" s="34"/>
    </row>
    <row r="333" ht="15.75" customHeight="1">
      <c r="A333" s="34"/>
    </row>
    <row r="334" ht="15.75" customHeight="1">
      <c r="A334" s="34"/>
    </row>
    <row r="335" ht="15.75" customHeight="1">
      <c r="A335" s="34"/>
    </row>
    <row r="336" ht="15.75" customHeight="1">
      <c r="A336" s="34"/>
    </row>
    <row r="337" ht="15.75" customHeight="1">
      <c r="A337" s="34"/>
    </row>
    <row r="338" ht="15.75" customHeight="1">
      <c r="A338" s="34"/>
    </row>
    <row r="339" ht="15.75" customHeight="1">
      <c r="A339" s="34"/>
    </row>
    <row r="340" ht="15.75" customHeight="1">
      <c r="A340" s="34"/>
    </row>
    <row r="341" ht="15.75" customHeight="1">
      <c r="A341" s="34"/>
    </row>
    <row r="342" ht="15.75" customHeight="1">
      <c r="A342" s="34"/>
    </row>
    <row r="343" ht="15.75" customHeight="1">
      <c r="A343" s="34"/>
    </row>
    <row r="344" ht="15.75" customHeight="1">
      <c r="A344" s="34"/>
    </row>
    <row r="345" ht="15.75" customHeight="1">
      <c r="A345" s="34"/>
    </row>
    <row r="346" ht="15.75" customHeight="1">
      <c r="A346" s="34"/>
    </row>
    <row r="347" ht="15.75" customHeight="1">
      <c r="A347" s="34"/>
    </row>
    <row r="348" ht="15.75" customHeight="1">
      <c r="A348" s="34"/>
    </row>
    <row r="349" ht="15.75" customHeight="1">
      <c r="A349" s="34"/>
    </row>
    <row r="350" ht="15.75" customHeight="1">
      <c r="A350" s="34"/>
    </row>
    <row r="351" ht="15.75" customHeight="1">
      <c r="A351" s="34"/>
    </row>
    <row r="352" ht="15.75" customHeight="1">
      <c r="A352" s="34"/>
    </row>
    <row r="353" ht="15.75" customHeight="1">
      <c r="A353" s="34"/>
    </row>
    <row r="354" ht="15.75" customHeight="1">
      <c r="A354" s="34"/>
    </row>
    <row r="355" ht="15.75" customHeight="1">
      <c r="A355" s="34"/>
    </row>
    <row r="356" ht="15.75" customHeight="1">
      <c r="A356" s="34"/>
    </row>
    <row r="357" ht="15.75" customHeight="1">
      <c r="A357" s="34"/>
    </row>
    <row r="358" ht="15.75" customHeight="1">
      <c r="A358" s="34"/>
    </row>
    <row r="359" ht="15.75" customHeight="1">
      <c r="A359" s="34"/>
    </row>
    <row r="360" ht="15.75" customHeight="1">
      <c r="A360" s="34"/>
    </row>
    <row r="361" ht="15.75" customHeight="1">
      <c r="A361" s="34"/>
    </row>
    <row r="362" ht="15.75" customHeight="1">
      <c r="A362" s="34"/>
    </row>
    <row r="363" ht="15.75" customHeight="1">
      <c r="A363" s="34"/>
    </row>
    <row r="364" ht="15.75" customHeight="1">
      <c r="A364" s="34"/>
    </row>
    <row r="365" ht="15.75" customHeight="1">
      <c r="A365" s="34"/>
    </row>
    <row r="366" ht="15.75" customHeight="1">
      <c r="A366" s="34"/>
    </row>
    <row r="367" ht="15.75" customHeight="1">
      <c r="A367" s="34"/>
    </row>
    <row r="368" ht="15.75" customHeight="1">
      <c r="A368" s="34"/>
    </row>
    <row r="369" ht="15.75" customHeight="1">
      <c r="A369" s="34"/>
    </row>
    <row r="370" ht="15.75" customHeight="1">
      <c r="A370" s="34"/>
    </row>
    <row r="371" ht="15.75" customHeight="1">
      <c r="A371" s="34"/>
    </row>
    <row r="372" ht="15.75" customHeight="1">
      <c r="A372" s="34"/>
    </row>
    <row r="373" ht="15.75" customHeight="1">
      <c r="A373" s="34"/>
    </row>
    <row r="374" ht="15.75" customHeight="1">
      <c r="A374" s="34"/>
    </row>
    <row r="375" ht="15.75" customHeight="1">
      <c r="A375" s="34"/>
    </row>
    <row r="376" ht="15.75" customHeight="1">
      <c r="A376" s="34"/>
    </row>
    <row r="377" ht="15.75" customHeight="1">
      <c r="A377" s="34"/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>
      <c r="A513" s="34"/>
    </row>
    <row r="514" ht="15.75" customHeight="1">
      <c r="A514" s="34"/>
    </row>
    <row r="515" ht="15.75" customHeight="1">
      <c r="A515" s="34"/>
    </row>
    <row r="516" ht="15.75" customHeight="1">
      <c r="A516" s="34"/>
    </row>
    <row r="517" ht="15.75" customHeight="1">
      <c r="A517" s="34"/>
    </row>
    <row r="518" ht="15.75" customHeight="1">
      <c r="A518" s="34"/>
    </row>
    <row r="519" ht="15.75" customHeight="1">
      <c r="A519" s="34"/>
    </row>
    <row r="520" ht="15.75" customHeight="1">
      <c r="A520" s="34"/>
    </row>
    <row r="521" ht="15.75" customHeight="1">
      <c r="A521" s="34"/>
    </row>
    <row r="522" ht="15.75" customHeight="1">
      <c r="A522" s="34"/>
    </row>
    <row r="523" ht="15.75" customHeight="1">
      <c r="A523" s="34"/>
    </row>
    <row r="524" ht="15.75" customHeight="1">
      <c r="A524" s="34"/>
    </row>
    <row r="525" ht="15.75" customHeight="1">
      <c r="A525" s="34"/>
    </row>
    <row r="526" ht="15.75" customHeight="1">
      <c r="A526" s="34"/>
    </row>
    <row r="527" ht="15.75" customHeight="1">
      <c r="A527" s="34"/>
    </row>
    <row r="528" ht="15.75" customHeight="1">
      <c r="A528" s="34"/>
    </row>
    <row r="529" ht="15.75" customHeight="1">
      <c r="A529" s="34"/>
    </row>
    <row r="530" ht="15.75" customHeight="1">
      <c r="A530" s="34"/>
    </row>
    <row r="531" ht="15.75" customHeight="1">
      <c r="A531" s="34"/>
    </row>
    <row r="532" ht="15.75" customHeight="1">
      <c r="A532" s="34"/>
    </row>
    <row r="533" ht="15.75" customHeight="1">
      <c r="A533" s="34"/>
    </row>
    <row r="534" ht="15.75" customHeight="1">
      <c r="A534" s="34"/>
    </row>
    <row r="535" ht="15.75" customHeight="1">
      <c r="A535" s="34"/>
    </row>
    <row r="536" ht="15.75" customHeight="1">
      <c r="A536" s="34"/>
    </row>
    <row r="537" ht="15.75" customHeight="1">
      <c r="A537" s="34"/>
    </row>
    <row r="538" ht="15.75" customHeight="1">
      <c r="A538" s="34"/>
    </row>
    <row r="539" ht="15.75" customHeight="1">
      <c r="A539" s="34"/>
    </row>
    <row r="540" ht="15.75" customHeight="1">
      <c r="A540" s="34"/>
    </row>
    <row r="541" ht="15.75" customHeight="1">
      <c r="A541" s="34"/>
    </row>
    <row r="542" ht="15.75" customHeight="1">
      <c r="A542" s="34"/>
    </row>
    <row r="543" ht="15.75" customHeight="1">
      <c r="A543" s="34"/>
    </row>
    <row r="544" ht="15.75" customHeight="1">
      <c r="A544" s="34"/>
    </row>
    <row r="545" ht="15.75" customHeight="1">
      <c r="A545" s="34"/>
    </row>
    <row r="546" ht="15.75" customHeight="1">
      <c r="A546" s="34"/>
    </row>
    <row r="547" ht="15.75" customHeight="1">
      <c r="A547" s="34"/>
    </row>
    <row r="548" ht="15.75" customHeight="1">
      <c r="A548" s="34"/>
    </row>
    <row r="549" ht="15.75" customHeight="1">
      <c r="A549" s="34"/>
    </row>
    <row r="550" ht="15.75" customHeight="1">
      <c r="A550" s="34"/>
    </row>
    <row r="551" ht="15.75" customHeight="1">
      <c r="A551" s="34"/>
    </row>
    <row r="552" ht="15.75" customHeight="1">
      <c r="A552" s="34"/>
    </row>
    <row r="553" ht="15.75" customHeight="1">
      <c r="A553" s="34"/>
    </row>
    <row r="554" ht="15.75" customHeight="1">
      <c r="A554" s="34"/>
    </row>
    <row r="555" ht="15.75" customHeight="1">
      <c r="A555" s="34"/>
    </row>
    <row r="556" ht="15.75" customHeight="1">
      <c r="A556" s="34"/>
    </row>
    <row r="557" ht="15.75" customHeight="1">
      <c r="A557" s="34"/>
    </row>
    <row r="558" ht="15.75" customHeight="1">
      <c r="A558" s="34"/>
    </row>
    <row r="559" ht="15.75" customHeight="1">
      <c r="A559" s="34"/>
    </row>
    <row r="560" ht="15.75" customHeight="1">
      <c r="A560" s="34"/>
    </row>
    <row r="561" ht="15.75" customHeight="1">
      <c r="A561" s="34"/>
    </row>
    <row r="562" ht="15.75" customHeight="1">
      <c r="A562" s="34"/>
    </row>
    <row r="563" ht="15.75" customHeight="1">
      <c r="A563" s="34"/>
    </row>
    <row r="564" ht="15.75" customHeight="1">
      <c r="A564" s="34"/>
    </row>
    <row r="565" ht="15.75" customHeight="1">
      <c r="A565" s="34"/>
    </row>
    <row r="566" ht="15.75" customHeight="1">
      <c r="A566" s="34"/>
    </row>
    <row r="567" ht="15.75" customHeight="1">
      <c r="A567" s="34"/>
    </row>
    <row r="568" ht="15.75" customHeight="1">
      <c r="A568" s="34"/>
    </row>
    <row r="569" ht="15.75" customHeight="1">
      <c r="A569" s="34"/>
    </row>
    <row r="570" ht="15.75" customHeight="1">
      <c r="A570" s="34"/>
    </row>
    <row r="571" ht="15.75" customHeight="1">
      <c r="A571" s="34"/>
    </row>
    <row r="572" ht="15.75" customHeight="1">
      <c r="A572" s="34"/>
    </row>
    <row r="573" ht="15.75" customHeight="1">
      <c r="A573" s="34"/>
    </row>
    <row r="574" ht="15.75" customHeight="1">
      <c r="A574" s="34"/>
    </row>
    <row r="575" ht="15.75" customHeight="1">
      <c r="A575" s="34"/>
    </row>
    <row r="576" ht="15.75" customHeight="1">
      <c r="A576" s="34"/>
    </row>
    <row r="577" ht="15.75" customHeight="1">
      <c r="A577" s="34"/>
    </row>
    <row r="578" ht="15.75" customHeight="1">
      <c r="A578" s="34"/>
    </row>
    <row r="579" ht="15.75" customHeight="1">
      <c r="A579" s="34"/>
    </row>
    <row r="580" ht="15.75" customHeight="1">
      <c r="A580" s="34"/>
    </row>
    <row r="581" ht="15.75" customHeight="1">
      <c r="A581" s="34"/>
    </row>
    <row r="582" ht="15.75" customHeight="1">
      <c r="A582" s="34"/>
    </row>
    <row r="583" ht="15.75" customHeight="1">
      <c r="A583" s="34"/>
    </row>
    <row r="584" ht="15.75" customHeight="1">
      <c r="A584" s="34"/>
    </row>
    <row r="585" ht="15.75" customHeight="1">
      <c r="A585" s="34"/>
    </row>
    <row r="586" ht="15.75" customHeight="1">
      <c r="A586" s="34"/>
    </row>
    <row r="587" ht="15.75" customHeight="1">
      <c r="A587" s="34"/>
    </row>
    <row r="588" ht="15.75" customHeight="1">
      <c r="A588" s="34"/>
    </row>
    <row r="589" ht="15.75" customHeight="1">
      <c r="A589" s="34"/>
    </row>
    <row r="590" ht="15.75" customHeight="1">
      <c r="A590" s="34"/>
    </row>
    <row r="591" ht="15.75" customHeight="1">
      <c r="A591" s="34"/>
    </row>
    <row r="592" ht="15.75" customHeight="1">
      <c r="A592" s="34"/>
    </row>
    <row r="593" ht="15.75" customHeight="1">
      <c r="A593" s="34"/>
    </row>
    <row r="594" ht="15.75" customHeight="1">
      <c r="A594" s="34"/>
    </row>
    <row r="595" ht="15.75" customHeight="1">
      <c r="A595" s="34"/>
    </row>
    <row r="596" ht="15.75" customHeight="1">
      <c r="A596" s="34"/>
    </row>
    <row r="597" ht="15.75" customHeight="1">
      <c r="A597" s="34"/>
    </row>
    <row r="598" ht="15.75" customHeight="1">
      <c r="A598" s="34"/>
    </row>
    <row r="599" ht="15.75" customHeight="1">
      <c r="A599" s="34"/>
    </row>
    <row r="600" ht="15.75" customHeight="1">
      <c r="A600" s="34"/>
    </row>
    <row r="601" ht="15.75" customHeight="1">
      <c r="A601" s="34"/>
    </row>
    <row r="602" ht="15.75" customHeight="1">
      <c r="A602" s="34"/>
    </row>
    <row r="603" ht="15.75" customHeight="1">
      <c r="A603" s="34"/>
    </row>
    <row r="604" ht="15.75" customHeight="1">
      <c r="A604" s="34"/>
    </row>
    <row r="605" ht="15.75" customHeight="1">
      <c r="A605" s="34"/>
    </row>
    <row r="606" ht="15.75" customHeight="1">
      <c r="A606" s="34"/>
    </row>
    <row r="607" ht="15.75" customHeight="1">
      <c r="A607" s="34"/>
    </row>
    <row r="608" ht="15.75" customHeight="1">
      <c r="A608" s="34"/>
    </row>
    <row r="609" ht="15.75" customHeight="1">
      <c r="A609" s="34"/>
    </row>
    <row r="610" ht="15.75" customHeight="1">
      <c r="A610" s="34"/>
    </row>
    <row r="611" ht="15.75" customHeight="1">
      <c r="A611" s="34"/>
    </row>
    <row r="612" ht="15.75" customHeight="1">
      <c r="A612" s="34"/>
    </row>
    <row r="613" ht="15.75" customHeight="1">
      <c r="A613" s="34"/>
    </row>
    <row r="614" ht="15.75" customHeight="1">
      <c r="A614" s="34"/>
    </row>
    <row r="615" ht="15.75" customHeight="1">
      <c r="A615" s="34"/>
    </row>
    <row r="616" ht="15.75" customHeight="1">
      <c r="A616" s="34"/>
    </row>
    <row r="617" ht="15.75" customHeight="1">
      <c r="A617" s="34"/>
    </row>
    <row r="618" ht="15.75" customHeight="1">
      <c r="A618" s="34"/>
    </row>
    <row r="619" ht="15.75" customHeight="1">
      <c r="A619" s="34"/>
    </row>
    <row r="620" ht="15.75" customHeight="1">
      <c r="A620" s="34"/>
    </row>
    <row r="621" ht="15.75" customHeight="1">
      <c r="A621" s="34"/>
    </row>
    <row r="622" ht="15.75" customHeight="1">
      <c r="A622" s="34"/>
    </row>
    <row r="623" ht="15.75" customHeight="1">
      <c r="A623" s="34"/>
    </row>
    <row r="624" ht="15.75" customHeight="1">
      <c r="A624" s="34"/>
    </row>
    <row r="625" ht="15.75" customHeight="1">
      <c r="A625" s="34"/>
    </row>
    <row r="626" ht="15.75" customHeight="1">
      <c r="A626" s="34"/>
    </row>
    <row r="627" ht="15.75" customHeight="1">
      <c r="A627" s="34"/>
    </row>
    <row r="628" ht="15.75" customHeight="1">
      <c r="A628" s="34"/>
    </row>
    <row r="629" ht="15.75" customHeight="1">
      <c r="A629" s="34"/>
    </row>
    <row r="630" ht="15.75" customHeight="1">
      <c r="A630" s="34"/>
    </row>
    <row r="631" ht="15.75" customHeight="1">
      <c r="A631" s="34"/>
    </row>
    <row r="632" ht="15.75" customHeight="1">
      <c r="A632" s="34"/>
    </row>
    <row r="633" ht="15.75" customHeight="1">
      <c r="A633" s="34"/>
    </row>
    <row r="634" ht="15.75" customHeight="1">
      <c r="A634" s="34"/>
    </row>
    <row r="635" ht="15.75" customHeight="1">
      <c r="A635" s="34"/>
    </row>
    <row r="636" ht="15.75" customHeight="1">
      <c r="A636" s="34"/>
    </row>
    <row r="637" ht="15.75" customHeight="1">
      <c r="A637" s="34"/>
    </row>
    <row r="638" ht="15.75" customHeight="1">
      <c r="A638" s="34"/>
    </row>
    <row r="639" ht="15.75" customHeight="1">
      <c r="A639" s="34"/>
    </row>
    <row r="640" ht="15.75" customHeight="1">
      <c r="A640" s="34"/>
    </row>
    <row r="641" ht="15.75" customHeight="1">
      <c r="A641" s="34"/>
    </row>
    <row r="642" ht="15.75" customHeight="1">
      <c r="A642" s="34"/>
    </row>
    <row r="643" ht="15.75" customHeight="1">
      <c r="A643" s="34"/>
    </row>
    <row r="644" ht="15.75" customHeight="1">
      <c r="A644" s="34"/>
    </row>
    <row r="645" ht="15.75" customHeight="1">
      <c r="A645" s="34"/>
    </row>
    <row r="646" ht="15.75" customHeight="1">
      <c r="A646" s="34"/>
    </row>
    <row r="647" ht="15.75" customHeight="1">
      <c r="A647" s="34"/>
    </row>
    <row r="648" ht="15.75" customHeight="1">
      <c r="A648" s="34"/>
    </row>
    <row r="649" ht="15.75" customHeight="1">
      <c r="A649" s="34"/>
    </row>
    <row r="650" ht="15.75" customHeight="1">
      <c r="A650" s="34"/>
    </row>
    <row r="651" ht="15.75" customHeight="1">
      <c r="A651" s="34"/>
    </row>
    <row r="652" ht="15.75" customHeight="1">
      <c r="A652" s="34"/>
    </row>
    <row r="653" ht="15.75" customHeight="1">
      <c r="A653" s="34"/>
    </row>
    <row r="654" ht="15.75" customHeight="1">
      <c r="A654" s="34"/>
    </row>
    <row r="655" ht="15.75" customHeight="1">
      <c r="A655" s="34"/>
    </row>
    <row r="656" ht="15.75" customHeight="1">
      <c r="A656" s="34"/>
    </row>
    <row r="657" ht="15.75" customHeight="1">
      <c r="A657" s="34"/>
    </row>
    <row r="658" ht="15.75" customHeight="1">
      <c r="A658" s="34"/>
    </row>
    <row r="659" ht="15.75" customHeight="1">
      <c r="A659" s="34"/>
    </row>
    <row r="660" ht="15.75" customHeight="1">
      <c r="A660" s="34"/>
    </row>
    <row r="661" ht="15.75" customHeight="1">
      <c r="A661" s="34"/>
    </row>
    <row r="662" ht="15.75" customHeight="1">
      <c r="A662" s="34"/>
    </row>
    <row r="663" ht="15.75" customHeight="1">
      <c r="A663" s="34"/>
    </row>
    <row r="664" ht="15.75" customHeight="1">
      <c r="A664" s="34"/>
    </row>
    <row r="665" ht="15.75" customHeight="1">
      <c r="A665" s="34"/>
    </row>
    <row r="666" ht="15.75" customHeight="1">
      <c r="A666" s="34"/>
    </row>
    <row r="667" ht="15.75" customHeight="1">
      <c r="A667" s="34"/>
    </row>
    <row r="668" ht="15.75" customHeight="1">
      <c r="A668" s="34"/>
    </row>
    <row r="669" ht="15.75" customHeight="1">
      <c r="A669" s="34"/>
    </row>
    <row r="670" ht="15.75" customHeight="1">
      <c r="A670" s="34"/>
    </row>
    <row r="671" ht="15.75" customHeight="1">
      <c r="A671" s="34"/>
    </row>
    <row r="672" ht="15.75" customHeight="1">
      <c r="A672" s="34"/>
    </row>
    <row r="673" ht="15.75" customHeight="1">
      <c r="A673" s="34"/>
    </row>
    <row r="674" ht="15.75" customHeight="1">
      <c r="A674" s="34"/>
    </row>
    <row r="675" ht="15.75" customHeight="1">
      <c r="A675" s="34"/>
    </row>
    <row r="676" ht="15.75" customHeight="1">
      <c r="A676" s="34"/>
    </row>
    <row r="677" ht="15.75" customHeight="1">
      <c r="A677" s="34"/>
    </row>
    <row r="678" ht="15.75" customHeight="1">
      <c r="A678" s="34"/>
    </row>
    <row r="679" ht="15.75" customHeight="1">
      <c r="A679" s="34"/>
    </row>
    <row r="680" ht="15.75" customHeight="1">
      <c r="A680" s="34"/>
    </row>
    <row r="681" ht="15.75" customHeight="1">
      <c r="A681" s="34"/>
    </row>
    <row r="682" ht="15.75" customHeight="1">
      <c r="A682" s="34"/>
    </row>
    <row r="683" ht="15.75" customHeight="1">
      <c r="A683" s="34"/>
    </row>
    <row r="684" ht="15.75" customHeight="1">
      <c r="A684" s="34"/>
    </row>
    <row r="685" ht="15.75" customHeight="1">
      <c r="A685" s="34"/>
    </row>
    <row r="686" ht="15.75" customHeight="1">
      <c r="A686" s="34"/>
    </row>
    <row r="687" ht="15.75" customHeight="1">
      <c r="A687" s="34"/>
    </row>
    <row r="688" ht="15.75" customHeight="1">
      <c r="A688" s="34"/>
    </row>
    <row r="689" ht="15.75" customHeight="1">
      <c r="A689" s="34"/>
    </row>
    <row r="690" ht="15.75" customHeight="1">
      <c r="A690" s="34"/>
    </row>
    <row r="691" ht="15.75" customHeight="1">
      <c r="A691" s="34"/>
    </row>
    <row r="692" ht="15.75" customHeight="1">
      <c r="A692" s="34"/>
    </row>
    <row r="693" ht="15.75" customHeight="1">
      <c r="A693" s="34"/>
    </row>
    <row r="694" ht="15.75" customHeight="1">
      <c r="A694" s="34"/>
    </row>
    <row r="695" ht="15.75" customHeight="1">
      <c r="A695" s="34"/>
    </row>
    <row r="696" ht="15.75" customHeight="1">
      <c r="A696" s="34"/>
    </row>
    <row r="697" ht="15.75" customHeight="1">
      <c r="A697" s="34"/>
    </row>
    <row r="698" ht="15.75" customHeight="1">
      <c r="A698" s="34"/>
    </row>
    <row r="699" ht="15.75" customHeight="1">
      <c r="A699" s="34"/>
    </row>
    <row r="700" ht="15.75" customHeight="1">
      <c r="A700" s="34"/>
    </row>
    <row r="701" ht="15.75" customHeight="1">
      <c r="A701" s="34"/>
    </row>
    <row r="702" ht="15.75" customHeight="1">
      <c r="A702" s="34"/>
    </row>
    <row r="703" ht="15.75" customHeight="1">
      <c r="A703" s="34"/>
    </row>
    <row r="704" ht="15.75" customHeight="1">
      <c r="A704" s="34"/>
    </row>
    <row r="705" ht="15.75" customHeight="1">
      <c r="A705" s="34"/>
    </row>
    <row r="706" ht="15.75" customHeight="1">
      <c r="A706" s="34"/>
    </row>
    <row r="707" ht="15.75" customHeight="1">
      <c r="A707" s="34"/>
    </row>
    <row r="708" ht="15.75" customHeight="1">
      <c r="A708" s="34"/>
    </row>
    <row r="709" ht="15.75" customHeight="1">
      <c r="A709" s="34"/>
    </row>
    <row r="710" ht="15.75" customHeight="1">
      <c r="A710" s="34"/>
    </row>
    <row r="711" ht="15.75" customHeight="1">
      <c r="A711" s="34"/>
    </row>
    <row r="712" ht="15.75" customHeight="1">
      <c r="A712" s="34"/>
    </row>
    <row r="713" ht="15.75" customHeight="1">
      <c r="A713" s="34"/>
    </row>
    <row r="714" ht="15.75" customHeight="1">
      <c r="A714" s="34"/>
    </row>
    <row r="715" ht="15.75" customHeight="1">
      <c r="A715" s="34"/>
    </row>
    <row r="716" ht="15.75" customHeight="1">
      <c r="A716" s="34"/>
    </row>
    <row r="717" ht="15.75" customHeight="1">
      <c r="A717" s="34"/>
    </row>
    <row r="718" ht="15.75" customHeight="1">
      <c r="A718" s="34"/>
    </row>
    <row r="719" ht="15.75" customHeight="1">
      <c r="A719" s="34"/>
    </row>
    <row r="720" ht="15.75" customHeight="1">
      <c r="A720" s="34"/>
    </row>
    <row r="721" ht="15.75" customHeight="1">
      <c r="A721" s="34"/>
    </row>
    <row r="722" ht="15.75" customHeight="1">
      <c r="A722" s="34"/>
    </row>
    <row r="723" ht="15.75" customHeight="1">
      <c r="A723" s="34"/>
    </row>
    <row r="724" ht="15.75" customHeight="1">
      <c r="A724" s="34"/>
    </row>
    <row r="725" ht="15.75" customHeight="1">
      <c r="A725" s="34"/>
    </row>
    <row r="726" ht="15.75" customHeight="1">
      <c r="A726" s="34"/>
    </row>
    <row r="727" ht="15.75" customHeight="1">
      <c r="A727" s="34"/>
    </row>
    <row r="728" ht="15.75" customHeight="1">
      <c r="A728" s="34"/>
    </row>
    <row r="729" ht="15.75" customHeight="1">
      <c r="A729" s="34"/>
    </row>
    <row r="730" ht="15.75" customHeight="1">
      <c r="A730" s="34"/>
    </row>
    <row r="731" ht="15.75" customHeight="1">
      <c r="A731" s="34"/>
    </row>
    <row r="732" ht="15.75" customHeight="1">
      <c r="A732" s="34"/>
    </row>
    <row r="733" ht="15.75" customHeight="1">
      <c r="A733" s="34"/>
    </row>
    <row r="734" ht="15.75" customHeight="1">
      <c r="A734" s="34"/>
    </row>
    <row r="735" ht="15.75" customHeight="1">
      <c r="A735" s="34"/>
    </row>
    <row r="736" ht="15.75" customHeight="1">
      <c r="A736" s="34"/>
    </row>
    <row r="737" ht="15.75" customHeight="1">
      <c r="A737" s="34"/>
    </row>
    <row r="738" ht="15.75" customHeight="1">
      <c r="A738" s="34"/>
    </row>
    <row r="739" ht="15.75" customHeight="1">
      <c r="A739" s="34"/>
    </row>
    <row r="740" ht="15.75" customHeight="1">
      <c r="A740" s="34"/>
    </row>
    <row r="741" ht="15.75" customHeight="1">
      <c r="A741" s="34"/>
    </row>
    <row r="742" ht="15.75" customHeight="1">
      <c r="A742" s="34"/>
    </row>
    <row r="743" ht="15.75" customHeight="1">
      <c r="A743" s="34"/>
    </row>
    <row r="744" ht="15.75" customHeight="1">
      <c r="A744" s="34"/>
    </row>
    <row r="745" ht="15.75" customHeight="1">
      <c r="A745" s="34"/>
    </row>
    <row r="746" ht="15.75" customHeight="1">
      <c r="A746" s="34"/>
    </row>
    <row r="747" ht="15.75" customHeight="1">
      <c r="A747" s="34"/>
    </row>
    <row r="748" ht="15.75" customHeight="1">
      <c r="A748" s="34"/>
    </row>
    <row r="749" ht="15.75" customHeight="1">
      <c r="A749" s="34"/>
    </row>
    <row r="750" ht="15.75" customHeight="1">
      <c r="A750" s="34"/>
    </row>
    <row r="751" ht="15.75" customHeight="1">
      <c r="A751" s="34"/>
    </row>
    <row r="752" ht="15.75" customHeight="1">
      <c r="A752" s="34"/>
    </row>
    <row r="753" ht="15.75" customHeight="1">
      <c r="A753" s="34"/>
    </row>
    <row r="754" ht="15.75" customHeight="1">
      <c r="A754" s="34"/>
    </row>
    <row r="755" ht="15.75" customHeight="1">
      <c r="A755" s="34"/>
    </row>
    <row r="756" ht="15.75" customHeight="1">
      <c r="A756" s="34"/>
    </row>
    <row r="757" ht="15.75" customHeight="1">
      <c r="A757" s="34"/>
    </row>
    <row r="758" ht="15.75" customHeight="1">
      <c r="A758" s="34"/>
    </row>
    <row r="759" ht="15.75" customHeight="1">
      <c r="A759" s="34"/>
    </row>
    <row r="760" ht="15.75" customHeight="1">
      <c r="A760" s="34"/>
    </row>
    <row r="761" ht="15.75" customHeight="1">
      <c r="A761" s="34"/>
    </row>
    <row r="762" ht="15.75" customHeight="1">
      <c r="A762" s="34"/>
    </row>
    <row r="763" ht="15.75" customHeight="1">
      <c r="A763" s="34"/>
    </row>
    <row r="764" ht="15.75" customHeight="1">
      <c r="A764" s="34"/>
    </row>
    <row r="765" ht="15.75" customHeight="1">
      <c r="A765" s="34"/>
    </row>
    <row r="766" ht="15.75" customHeight="1">
      <c r="A766" s="34"/>
    </row>
    <row r="767" ht="15.75" customHeight="1">
      <c r="A767" s="34"/>
    </row>
    <row r="768" ht="15.75" customHeight="1">
      <c r="A768" s="34"/>
    </row>
    <row r="769" ht="15.75" customHeight="1">
      <c r="A769" s="34"/>
    </row>
    <row r="770" ht="15.75" customHeight="1">
      <c r="A770" s="34"/>
    </row>
    <row r="771" ht="15.75" customHeight="1">
      <c r="A771" s="34"/>
    </row>
    <row r="772" ht="15.75" customHeight="1">
      <c r="A772" s="34"/>
    </row>
    <row r="773" ht="15.75" customHeight="1">
      <c r="A773" s="34"/>
    </row>
    <row r="774" ht="15.75" customHeight="1">
      <c r="A774" s="34"/>
    </row>
    <row r="775" ht="15.75" customHeight="1">
      <c r="A775" s="34"/>
    </row>
    <row r="776" ht="15.75" customHeight="1">
      <c r="A776" s="34"/>
    </row>
    <row r="777" ht="15.75" customHeight="1">
      <c r="A777" s="34"/>
    </row>
    <row r="778" ht="15.75" customHeight="1">
      <c r="A778" s="34"/>
    </row>
    <row r="779" ht="15.75" customHeight="1">
      <c r="A779" s="34"/>
    </row>
    <row r="780" ht="15.75" customHeight="1">
      <c r="A780" s="34"/>
    </row>
    <row r="781" ht="15.75" customHeight="1">
      <c r="A781" s="34"/>
    </row>
    <row r="782" ht="15.75" customHeight="1">
      <c r="A782" s="34"/>
    </row>
    <row r="783" ht="15.75" customHeight="1">
      <c r="A783" s="34"/>
    </row>
    <row r="784" ht="15.75" customHeight="1">
      <c r="A784" s="34"/>
    </row>
    <row r="785" ht="15.75" customHeight="1">
      <c r="A785" s="34"/>
    </row>
    <row r="786" ht="15.75" customHeight="1">
      <c r="A786" s="34"/>
    </row>
    <row r="787" ht="15.75" customHeight="1">
      <c r="A787" s="34"/>
    </row>
    <row r="788" ht="15.75" customHeight="1">
      <c r="A788" s="34"/>
    </row>
    <row r="789" ht="15.75" customHeight="1">
      <c r="A789" s="34"/>
    </row>
    <row r="790" ht="15.75" customHeight="1">
      <c r="A790" s="34"/>
    </row>
    <row r="791" ht="15.75" customHeight="1">
      <c r="A791" s="34"/>
    </row>
    <row r="792" ht="15.75" customHeight="1">
      <c r="A792" s="34"/>
    </row>
    <row r="793" ht="15.75" customHeight="1">
      <c r="A793" s="34"/>
    </row>
    <row r="794" ht="15.75" customHeight="1">
      <c r="A794" s="34"/>
    </row>
    <row r="795" ht="15.75" customHeight="1">
      <c r="A795" s="34"/>
    </row>
    <row r="796" ht="15.75" customHeight="1">
      <c r="A796" s="34"/>
    </row>
    <row r="797" ht="15.75" customHeight="1">
      <c r="A797" s="34"/>
    </row>
    <row r="798" ht="15.75" customHeight="1">
      <c r="A798" s="34"/>
    </row>
    <row r="799" ht="15.75" customHeight="1">
      <c r="A799" s="34"/>
    </row>
    <row r="800" ht="15.75" customHeight="1">
      <c r="A800" s="34"/>
    </row>
    <row r="801" ht="15.75" customHeight="1">
      <c r="A801" s="34"/>
    </row>
    <row r="802" ht="15.75" customHeight="1">
      <c r="A802" s="34"/>
    </row>
    <row r="803" ht="15.75" customHeight="1">
      <c r="A803" s="34"/>
    </row>
    <row r="804" ht="15.75" customHeight="1">
      <c r="A804" s="34"/>
    </row>
    <row r="805" ht="15.75" customHeight="1">
      <c r="A805" s="34"/>
    </row>
    <row r="806" ht="15.75" customHeight="1">
      <c r="A806" s="34"/>
    </row>
    <row r="807" ht="15.75" customHeight="1">
      <c r="A807" s="34"/>
    </row>
    <row r="808" ht="15.75" customHeight="1">
      <c r="A808" s="34"/>
    </row>
    <row r="809" ht="15.75" customHeight="1">
      <c r="A809" s="34"/>
    </row>
    <row r="810" ht="15.75" customHeight="1">
      <c r="A810" s="34"/>
    </row>
    <row r="811" ht="15.75" customHeight="1">
      <c r="A811" s="34"/>
    </row>
    <row r="812" ht="15.75" customHeight="1">
      <c r="A812" s="34"/>
    </row>
    <row r="813" ht="15.75" customHeight="1">
      <c r="A813" s="34"/>
    </row>
    <row r="814" ht="15.75" customHeight="1">
      <c r="A814" s="34"/>
    </row>
    <row r="815" ht="15.75" customHeight="1">
      <c r="A815" s="34"/>
    </row>
    <row r="816" ht="15.75" customHeight="1">
      <c r="A816" s="34"/>
    </row>
    <row r="817" ht="15.75" customHeight="1">
      <c r="A817" s="34"/>
    </row>
    <row r="818" ht="15.75" customHeight="1">
      <c r="A818" s="34"/>
    </row>
    <row r="819" ht="15.75" customHeight="1">
      <c r="A819" s="34"/>
    </row>
    <row r="820" ht="15.75" customHeight="1">
      <c r="A820" s="34"/>
    </row>
    <row r="821" ht="15.75" customHeight="1">
      <c r="A821" s="34"/>
    </row>
    <row r="822" ht="15.75" customHeight="1">
      <c r="A822" s="34"/>
    </row>
    <row r="823" ht="15.75" customHeight="1">
      <c r="A823" s="34"/>
    </row>
    <row r="824" ht="15.75" customHeight="1">
      <c r="A824" s="34"/>
    </row>
    <row r="825" ht="15.75" customHeight="1">
      <c r="A825" s="34"/>
    </row>
    <row r="826" ht="15.75" customHeight="1">
      <c r="A826" s="34"/>
    </row>
    <row r="827" ht="15.75" customHeight="1">
      <c r="A827" s="34"/>
    </row>
    <row r="828" ht="15.75" customHeight="1">
      <c r="A828" s="34"/>
    </row>
    <row r="829" ht="15.75" customHeight="1">
      <c r="A829" s="34"/>
    </row>
    <row r="830" ht="15.75" customHeight="1">
      <c r="A830" s="34"/>
    </row>
    <row r="831" ht="15.75" customHeight="1">
      <c r="A831" s="34"/>
    </row>
    <row r="832" ht="15.75" customHeight="1">
      <c r="A832" s="34"/>
    </row>
    <row r="833" ht="15.75" customHeight="1">
      <c r="A833" s="34"/>
    </row>
    <row r="834" ht="15.75" customHeight="1">
      <c r="A834" s="34"/>
    </row>
    <row r="835" ht="15.75" customHeight="1">
      <c r="A835" s="34"/>
    </row>
    <row r="836" ht="15.75" customHeight="1">
      <c r="A836" s="34"/>
    </row>
    <row r="837" ht="15.75" customHeight="1">
      <c r="A837" s="34"/>
    </row>
    <row r="838" ht="15.75" customHeight="1">
      <c r="A838" s="34"/>
    </row>
    <row r="839" ht="15.75" customHeight="1">
      <c r="A839" s="34"/>
    </row>
    <row r="840" ht="15.75" customHeight="1">
      <c r="A840" s="34"/>
    </row>
    <row r="841" ht="15.75" customHeight="1">
      <c r="A841" s="34"/>
    </row>
  </sheetData>
  <autoFilter ref="$A$1:$O$79"/>
  <mergeCells count="3">
    <mergeCell ref="G59:H59"/>
    <mergeCell ref="G65:H65"/>
    <mergeCell ref="G67:H67"/>
  </mergeCells>
  <hyperlinks>
    <hyperlink r:id="rId1" ref="J5"/>
    <hyperlink r:id="rId2" ref="J26"/>
    <hyperlink r:id="rId3" ref="J38"/>
  </hyperlinks>
  <printOptions/>
  <pageMargins bottom="1.0" footer="0.0" header="0.0" left="0.75" right="0.75" top="1.0"/>
  <pageSetup orientation="landscape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57"/>
    <col customWidth="1" min="2" max="2" width="20.0"/>
    <col customWidth="1" min="3" max="3" width="7.0"/>
    <col customWidth="1" min="4" max="4" width="22.0"/>
    <col customWidth="1" min="5" max="5" width="34.0"/>
    <col customWidth="1" min="6" max="6" width="16.0"/>
    <col customWidth="1" min="7" max="7" width="65.43"/>
    <col customWidth="1" min="8" max="8" width="24.29"/>
  </cols>
  <sheetData>
    <row r="1">
      <c r="A1" s="4" t="s">
        <v>3</v>
      </c>
      <c r="B1" s="7" t="s">
        <v>12</v>
      </c>
      <c r="C1" s="7" t="s">
        <v>14</v>
      </c>
      <c r="D1" s="7" t="s">
        <v>17</v>
      </c>
      <c r="E1" s="7" t="s">
        <v>20</v>
      </c>
      <c r="F1" s="7" t="s">
        <v>24</v>
      </c>
      <c r="G1" s="7" t="s">
        <v>2578</v>
      </c>
    </row>
    <row r="2">
      <c r="A2" s="2" t="s">
        <v>2581</v>
      </c>
      <c r="B2" s="6" t="s">
        <v>49</v>
      </c>
      <c r="C2" s="6" t="s">
        <v>51</v>
      </c>
      <c r="D2" s="6" t="s">
        <v>7</v>
      </c>
      <c r="E2" s="6" t="s">
        <v>2586</v>
      </c>
      <c r="F2" s="6" t="s">
        <v>2587</v>
      </c>
      <c r="G2" s="6" t="s">
        <v>2589</v>
      </c>
      <c r="H2" s="9" t="s">
        <v>2592</v>
      </c>
    </row>
    <row r="3">
      <c r="A3" s="2" t="s">
        <v>2595</v>
      </c>
      <c r="B3" s="6" t="s">
        <v>2597</v>
      </c>
      <c r="C3" s="6" t="s">
        <v>2599</v>
      </c>
      <c r="D3" s="6" t="s">
        <v>7</v>
      </c>
      <c r="E3" s="6" t="s">
        <v>2601</v>
      </c>
      <c r="F3" s="6" t="s">
        <v>2602</v>
      </c>
      <c r="G3" s="6" t="s">
        <v>2604</v>
      </c>
      <c r="H3" s="9" t="s">
        <v>2606</v>
      </c>
    </row>
    <row r="4">
      <c r="A4" s="2" t="s">
        <v>2609</v>
      </c>
      <c r="B4" s="6" t="s">
        <v>2597</v>
      </c>
      <c r="C4" s="6" t="s">
        <v>2599</v>
      </c>
      <c r="D4" s="6" t="s">
        <v>7</v>
      </c>
      <c r="E4" s="6" t="s">
        <v>2612</v>
      </c>
      <c r="F4" s="6" t="s">
        <v>2614</v>
      </c>
      <c r="G4" s="6" t="s">
        <v>2615</v>
      </c>
      <c r="H4" s="9" t="s">
        <v>2617</v>
      </c>
    </row>
    <row r="5">
      <c r="A5" s="2" t="s">
        <v>2619</v>
      </c>
      <c r="B5" s="6" t="s">
        <v>1208</v>
      </c>
      <c r="C5" s="6" t="s">
        <v>2620</v>
      </c>
      <c r="D5" s="6" t="s">
        <v>7</v>
      </c>
      <c r="E5" s="6" t="s">
        <v>2622</v>
      </c>
      <c r="F5" s="6" t="s">
        <v>2624</v>
      </c>
      <c r="G5" s="6" t="s">
        <v>2626</v>
      </c>
      <c r="H5" s="9" t="s">
        <v>2628</v>
      </c>
    </row>
    <row r="6">
      <c r="A6" s="45" t="s">
        <v>2632</v>
      </c>
      <c r="B6" s="6" t="s">
        <v>734</v>
      </c>
      <c r="C6" s="22">
        <v>44400.0</v>
      </c>
      <c r="D6" s="6" t="s">
        <v>7</v>
      </c>
      <c r="E6" s="46" t="s">
        <v>2643</v>
      </c>
      <c r="F6" s="6" t="s">
        <v>2646</v>
      </c>
      <c r="G6" s="6"/>
    </row>
    <row r="7">
      <c r="A7" s="45" t="s">
        <v>2650</v>
      </c>
      <c r="B7" s="6" t="s">
        <v>2651</v>
      </c>
      <c r="C7" s="22">
        <v>44400.0</v>
      </c>
      <c r="D7" s="6" t="s">
        <v>7</v>
      </c>
      <c r="E7" s="46" t="s">
        <v>2652</v>
      </c>
      <c r="F7" s="6" t="s">
        <v>2653</v>
      </c>
      <c r="G7" s="6" t="s">
        <v>2654</v>
      </c>
      <c r="H7" s="9" t="s">
        <v>2655</v>
      </c>
    </row>
    <row r="8">
      <c r="A8" s="45" t="s">
        <v>2656</v>
      </c>
      <c r="B8" s="6" t="s">
        <v>2651</v>
      </c>
      <c r="C8" s="22">
        <v>44400.0</v>
      </c>
      <c r="D8" s="6" t="s">
        <v>7</v>
      </c>
      <c r="E8" s="46" t="s">
        <v>2657</v>
      </c>
      <c r="F8" s="6" t="s">
        <v>2658</v>
      </c>
      <c r="G8" s="6" t="s">
        <v>2659</v>
      </c>
    </row>
    <row r="9">
      <c r="A9" s="45" t="s">
        <v>2660</v>
      </c>
      <c r="B9" s="6" t="s">
        <v>957</v>
      </c>
      <c r="C9" s="22">
        <v>44340.0</v>
      </c>
      <c r="D9" s="6" t="s">
        <v>7</v>
      </c>
      <c r="E9" s="46" t="s">
        <v>2661</v>
      </c>
      <c r="F9" s="6" t="s">
        <v>2662</v>
      </c>
      <c r="G9" s="6" t="s">
        <v>2663</v>
      </c>
    </row>
    <row r="10">
      <c r="A10" s="45" t="s">
        <v>2366</v>
      </c>
      <c r="B10" s="6" t="s">
        <v>2664</v>
      </c>
      <c r="C10" s="22">
        <v>44840.0</v>
      </c>
      <c r="D10" s="6" t="s">
        <v>7</v>
      </c>
      <c r="E10" s="46" t="s">
        <v>2665</v>
      </c>
      <c r="F10" s="6" t="s">
        <v>2666</v>
      </c>
      <c r="G10" s="6"/>
    </row>
    <row r="11">
      <c r="A11" s="45" t="s">
        <v>2667</v>
      </c>
      <c r="B11" s="6" t="s">
        <v>813</v>
      </c>
      <c r="C11" s="6">
        <v>44800.0</v>
      </c>
      <c r="D11" s="6" t="s">
        <v>7</v>
      </c>
      <c r="E11" s="46" t="s">
        <v>2668</v>
      </c>
      <c r="F11" s="6" t="s">
        <v>2669</v>
      </c>
      <c r="G11" s="6"/>
    </row>
    <row r="12">
      <c r="A12" s="45" t="s">
        <v>2670</v>
      </c>
      <c r="B12" s="6"/>
      <c r="C12" s="6"/>
      <c r="D12" s="6"/>
      <c r="E12" s="46" t="s">
        <v>2671</v>
      </c>
      <c r="F12" s="6"/>
      <c r="G12" s="6" t="s">
        <v>2672</v>
      </c>
    </row>
    <row r="13">
      <c r="A13" s="47" t="s">
        <v>2673</v>
      </c>
      <c r="B13" s="6" t="s">
        <v>984</v>
      </c>
      <c r="C13" s="6">
        <v>44115.0</v>
      </c>
      <c r="D13" s="6" t="s">
        <v>7</v>
      </c>
      <c r="E13" s="48" t="s">
        <v>2674</v>
      </c>
      <c r="F13" s="6" t="s">
        <v>2675</v>
      </c>
      <c r="G13" s="6" t="s">
        <v>2676</v>
      </c>
    </row>
    <row r="14">
      <c r="A14" s="47" t="s">
        <v>2677</v>
      </c>
      <c r="B14" s="6" t="s">
        <v>2678</v>
      </c>
      <c r="C14" s="6">
        <v>44450.0</v>
      </c>
      <c r="D14" s="6" t="s">
        <v>7</v>
      </c>
      <c r="E14" s="48" t="s">
        <v>2679</v>
      </c>
      <c r="F14" s="6" t="s">
        <v>2680</v>
      </c>
      <c r="G14" s="6"/>
    </row>
    <row r="15">
      <c r="A15" s="47" t="s">
        <v>2681</v>
      </c>
      <c r="B15" s="6" t="s">
        <v>2678</v>
      </c>
      <c r="C15" s="6">
        <v>44450.0</v>
      </c>
      <c r="D15" s="6" t="s">
        <v>7</v>
      </c>
      <c r="E15" s="48" t="s">
        <v>2682</v>
      </c>
      <c r="F15" s="6" t="s">
        <v>2683</v>
      </c>
      <c r="G15" s="6" t="s">
        <v>2684</v>
      </c>
      <c r="H15" s="9" t="s">
        <v>2685</v>
      </c>
    </row>
    <row r="16">
      <c r="A16" s="2" t="s">
        <v>2686</v>
      </c>
      <c r="B16" s="6" t="s">
        <v>318</v>
      </c>
      <c r="C16" s="6" t="s">
        <v>321</v>
      </c>
      <c r="D16" s="6" t="s">
        <v>7</v>
      </c>
      <c r="E16" s="6" t="s">
        <v>2687</v>
      </c>
      <c r="F16" s="6" t="s">
        <v>2688</v>
      </c>
      <c r="G16" s="6" t="s">
        <v>2689</v>
      </c>
    </row>
    <row r="17">
      <c r="A17" s="2" t="s">
        <v>2690</v>
      </c>
      <c r="B17" s="6" t="s">
        <v>318</v>
      </c>
      <c r="C17" s="6" t="s">
        <v>321</v>
      </c>
      <c r="D17" s="6" t="s">
        <v>7</v>
      </c>
      <c r="E17" s="6" t="s">
        <v>2691</v>
      </c>
      <c r="F17" s="6" t="s">
        <v>2692</v>
      </c>
      <c r="G17" s="6"/>
    </row>
    <row r="18">
      <c r="A18" s="2" t="s">
        <v>2693</v>
      </c>
      <c r="B18" s="6" t="s">
        <v>318</v>
      </c>
      <c r="C18" s="6" t="s">
        <v>321</v>
      </c>
      <c r="D18" s="6" t="s">
        <v>7</v>
      </c>
      <c r="E18" s="6" t="s">
        <v>2694</v>
      </c>
      <c r="F18" s="6" t="s">
        <v>2695</v>
      </c>
      <c r="G18" s="6"/>
    </row>
    <row r="19">
      <c r="A19" s="45" t="s">
        <v>2696</v>
      </c>
      <c r="B19" s="6" t="s">
        <v>318</v>
      </c>
      <c r="C19" s="6" t="s">
        <v>2697</v>
      </c>
      <c r="D19" s="6" t="s">
        <v>7</v>
      </c>
      <c r="E19" s="49" t="s">
        <v>2698</v>
      </c>
      <c r="F19" s="6"/>
      <c r="G19" s="49" t="s">
        <v>731</v>
      </c>
      <c r="H19" s="9" t="s">
        <v>2699</v>
      </c>
    </row>
    <row r="20">
      <c r="A20" s="45" t="s">
        <v>2700</v>
      </c>
      <c r="B20" s="6" t="s">
        <v>318</v>
      </c>
      <c r="C20" s="6" t="s">
        <v>2697</v>
      </c>
      <c r="D20" s="6" t="s">
        <v>7</v>
      </c>
      <c r="E20" s="46" t="s">
        <v>2701</v>
      </c>
      <c r="F20" s="6"/>
      <c r="G20" s="6" t="s">
        <v>2702</v>
      </c>
    </row>
    <row r="21">
      <c r="A21" s="2" t="s">
        <v>2703</v>
      </c>
      <c r="B21" s="6" t="s">
        <v>318</v>
      </c>
      <c r="C21" s="6" t="s">
        <v>2697</v>
      </c>
      <c r="D21" s="6" t="s">
        <v>7</v>
      </c>
      <c r="E21" s="46" t="s">
        <v>2704</v>
      </c>
      <c r="F21" s="6"/>
      <c r="G21" s="6" t="s">
        <v>2705</v>
      </c>
    </row>
    <row r="22">
      <c r="A22" s="45" t="s">
        <v>2706</v>
      </c>
      <c r="B22" s="6" t="s">
        <v>318</v>
      </c>
      <c r="C22" s="6" t="s">
        <v>2707</v>
      </c>
      <c r="D22" s="6" t="s">
        <v>7</v>
      </c>
      <c r="E22" s="46" t="s">
        <v>2708</v>
      </c>
      <c r="F22" s="6"/>
      <c r="G22" s="6"/>
    </row>
    <row r="23">
      <c r="A23" s="2" t="s">
        <v>2709</v>
      </c>
      <c r="B23" s="6" t="s">
        <v>318</v>
      </c>
      <c r="C23" s="6" t="s">
        <v>2697</v>
      </c>
      <c r="D23" s="6" t="s">
        <v>7</v>
      </c>
      <c r="E23" s="46" t="s">
        <v>2710</v>
      </c>
      <c r="F23" s="6"/>
      <c r="G23" s="6" t="s">
        <v>2711</v>
      </c>
    </row>
    <row r="24">
      <c r="A24" s="45" t="s">
        <v>2712</v>
      </c>
      <c r="B24" s="6" t="s">
        <v>318</v>
      </c>
      <c r="C24" s="6" t="s">
        <v>2707</v>
      </c>
      <c r="D24" s="6" t="s">
        <v>7</v>
      </c>
      <c r="E24" s="46" t="s">
        <v>2713</v>
      </c>
      <c r="F24" s="6"/>
      <c r="G24" s="6" t="s">
        <v>2714</v>
      </c>
    </row>
    <row r="25">
      <c r="A25" s="47" t="s">
        <v>2715</v>
      </c>
      <c r="B25" s="6" t="s">
        <v>318</v>
      </c>
      <c r="C25" s="6" t="s">
        <v>2707</v>
      </c>
      <c r="D25" s="6" t="s">
        <v>7</v>
      </c>
      <c r="E25" s="48" t="s">
        <v>2716</v>
      </c>
      <c r="F25" s="6" t="s">
        <v>2717</v>
      </c>
      <c r="G25" s="6" t="s">
        <v>2718</v>
      </c>
      <c r="H25" s="9"/>
    </row>
    <row r="26">
      <c r="A26" s="47" t="s">
        <v>2719</v>
      </c>
      <c r="B26" s="6" t="s">
        <v>2720</v>
      </c>
      <c r="C26" s="22">
        <v>44760.0</v>
      </c>
      <c r="D26" s="6" t="s">
        <v>7</v>
      </c>
      <c r="E26" s="48" t="s">
        <v>2721</v>
      </c>
      <c r="F26" s="6" t="s">
        <v>2722</v>
      </c>
      <c r="G26" s="6" t="s">
        <v>68</v>
      </c>
      <c r="H26" s="9" t="s">
        <v>2723</v>
      </c>
    </row>
    <row r="27">
      <c r="A27" s="2" t="s">
        <v>2724</v>
      </c>
      <c r="B27" s="6" t="s">
        <v>1052</v>
      </c>
      <c r="C27" s="6" t="s">
        <v>2620</v>
      </c>
      <c r="D27" s="6" t="s">
        <v>7</v>
      </c>
      <c r="E27" s="6" t="s">
        <v>2725</v>
      </c>
      <c r="F27" s="6" t="s">
        <v>2726</v>
      </c>
      <c r="G27" s="6"/>
      <c r="H27" s="9" t="s">
        <v>2727</v>
      </c>
    </row>
    <row r="28">
      <c r="A28" s="2" t="s">
        <v>2728</v>
      </c>
      <c r="B28" s="6" t="s">
        <v>1052</v>
      </c>
      <c r="C28" s="6">
        <v>44690.0</v>
      </c>
      <c r="D28" s="6" t="s">
        <v>7</v>
      </c>
      <c r="E28" s="2" t="s">
        <v>2729</v>
      </c>
      <c r="F28" s="6" t="s">
        <v>2730</v>
      </c>
      <c r="G28" s="6" t="s">
        <v>2731</v>
      </c>
      <c r="H28" s="43" t="s">
        <v>2732</v>
      </c>
    </row>
    <row r="29">
      <c r="A29" s="2" t="s">
        <v>2733</v>
      </c>
      <c r="B29" s="6" t="s">
        <v>2033</v>
      </c>
      <c r="C29" s="6" t="s">
        <v>2734</v>
      </c>
      <c r="D29" s="6" t="s">
        <v>7</v>
      </c>
      <c r="E29" s="6" t="s">
        <v>2735</v>
      </c>
      <c r="F29" s="6" t="s">
        <v>2736</v>
      </c>
      <c r="G29" s="6" t="s">
        <v>2737</v>
      </c>
    </row>
    <row r="30">
      <c r="A30" s="2" t="s">
        <v>2738</v>
      </c>
      <c r="B30" s="6" t="s">
        <v>2739</v>
      </c>
      <c r="C30" s="6" t="s">
        <v>301</v>
      </c>
      <c r="D30" s="6" t="s">
        <v>7</v>
      </c>
      <c r="E30" s="6" t="s">
        <v>2740</v>
      </c>
      <c r="F30" s="6" t="s">
        <v>2741</v>
      </c>
      <c r="G30" s="6"/>
      <c r="H30" s="9" t="s">
        <v>2321</v>
      </c>
    </row>
    <row r="31">
      <c r="A31" s="2" t="s">
        <v>2742</v>
      </c>
      <c r="B31" s="6" t="s">
        <v>2739</v>
      </c>
      <c r="C31" s="6">
        <v>44200.0</v>
      </c>
      <c r="D31" s="6" t="s">
        <v>7</v>
      </c>
      <c r="E31" s="6" t="s">
        <v>2743</v>
      </c>
      <c r="F31" s="6" t="s">
        <v>2744</v>
      </c>
      <c r="G31" s="6"/>
    </row>
    <row r="32">
      <c r="A32" s="2" t="s">
        <v>2745</v>
      </c>
      <c r="B32" s="6" t="s">
        <v>266</v>
      </c>
      <c r="C32" s="6" t="s">
        <v>2746</v>
      </c>
      <c r="D32" s="6" t="s">
        <v>7</v>
      </c>
      <c r="E32" s="6" t="s">
        <v>2747</v>
      </c>
      <c r="F32" s="6"/>
      <c r="G32" s="6" t="s">
        <v>2748</v>
      </c>
    </row>
    <row r="33">
      <c r="A33" s="45" t="s">
        <v>2749</v>
      </c>
      <c r="B33" s="6" t="s">
        <v>266</v>
      </c>
      <c r="C33" s="6" t="s">
        <v>267</v>
      </c>
      <c r="D33" s="6" t="s">
        <v>7</v>
      </c>
      <c r="E33" s="46" t="s">
        <v>2750</v>
      </c>
      <c r="F33" s="6"/>
      <c r="G33" s="6" t="s">
        <v>2751</v>
      </c>
    </row>
    <row r="34">
      <c r="A34" s="45" t="s">
        <v>2752</v>
      </c>
      <c r="B34" s="6" t="s">
        <v>266</v>
      </c>
      <c r="C34" s="6" t="s">
        <v>267</v>
      </c>
      <c r="D34" s="6" t="s">
        <v>7</v>
      </c>
      <c r="E34" s="46" t="s">
        <v>2753</v>
      </c>
      <c r="F34" s="6"/>
      <c r="G34" s="6" t="s">
        <v>2754</v>
      </c>
    </row>
    <row r="35">
      <c r="A35" s="45" t="s">
        <v>2755</v>
      </c>
      <c r="B35" s="6" t="s">
        <v>266</v>
      </c>
      <c r="C35" s="6" t="s">
        <v>2756</v>
      </c>
      <c r="D35" s="6" t="s">
        <v>7</v>
      </c>
      <c r="E35" s="46" t="s">
        <v>2757</v>
      </c>
      <c r="F35" s="6"/>
      <c r="G35" s="6"/>
    </row>
    <row r="36">
      <c r="A36" s="45" t="s">
        <v>2758</v>
      </c>
      <c r="B36" s="6" t="s">
        <v>266</v>
      </c>
      <c r="C36" s="6" t="s">
        <v>2759</v>
      </c>
      <c r="D36" s="6" t="s">
        <v>7</v>
      </c>
      <c r="E36" s="46" t="s">
        <v>2760</v>
      </c>
      <c r="F36" s="6"/>
      <c r="G36" s="6" t="s">
        <v>2761</v>
      </c>
    </row>
    <row r="37">
      <c r="A37" s="45" t="s">
        <v>2762</v>
      </c>
      <c r="B37" s="6" t="s">
        <v>266</v>
      </c>
      <c r="C37" s="6" t="s">
        <v>2763</v>
      </c>
      <c r="D37" s="6" t="s">
        <v>7</v>
      </c>
      <c r="E37" s="46" t="s">
        <v>2764</v>
      </c>
      <c r="F37" s="6"/>
      <c r="G37" s="6" t="s">
        <v>2765</v>
      </c>
    </row>
    <row r="38">
      <c r="A38" s="45" t="s">
        <v>2766</v>
      </c>
      <c r="B38" s="6" t="s">
        <v>266</v>
      </c>
      <c r="C38" s="6" t="s">
        <v>2767</v>
      </c>
      <c r="D38" s="6" t="s">
        <v>7</v>
      </c>
      <c r="E38" s="46" t="s">
        <v>2768</v>
      </c>
      <c r="F38" s="6"/>
      <c r="G38" s="6"/>
    </row>
    <row r="39">
      <c r="A39" s="2" t="s">
        <v>2769</v>
      </c>
      <c r="B39" s="6" t="s">
        <v>266</v>
      </c>
      <c r="C39" s="6" t="s">
        <v>267</v>
      </c>
      <c r="D39" s="6" t="s">
        <v>7</v>
      </c>
      <c r="E39" s="6" t="s">
        <v>2770</v>
      </c>
      <c r="F39" s="6" t="s">
        <v>2771</v>
      </c>
      <c r="G39" s="6" t="s">
        <v>2772</v>
      </c>
      <c r="H39" s="9" t="s">
        <v>2617</v>
      </c>
    </row>
    <row r="40">
      <c r="A40" s="2" t="s">
        <v>2773</v>
      </c>
      <c r="B40" s="6" t="s">
        <v>386</v>
      </c>
      <c r="C40" s="6" t="s">
        <v>388</v>
      </c>
      <c r="D40" s="6" t="s">
        <v>7</v>
      </c>
      <c r="E40" s="6" t="s">
        <v>2774</v>
      </c>
      <c r="F40" s="6" t="s">
        <v>2775</v>
      </c>
      <c r="G40" s="6" t="s">
        <v>2776</v>
      </c>
    </row>
    <row r="41">
      <c r="A41" s="2" t="s">
        <v>2777</v>
      </c>
      <c r="B41" s="6" t="s">
        <v>386</v>
      </c>
      <c r="C41" s="6" t="s">
        <v>388</v>
      </c>
      <c r="D41" s="6" t="s">
        <v>7</v>
      </c>
      <c r="E41" s="6" t="s">
        <v>2778</v>
      </c>
      <c r="F41" s="6" t="s">
        <v>1201</v>
      </c>
      <c r="G41" s="6" t="s">
        <v>2779</v>
      </c>
      <c r="H41" s="9" t="s">
        <v>2780</v>
      </c>
    </row>
    <row r="42">
      <c r="A42" s="45" t="s">
        <v>2781</v>
      </c>
      <c r="B42" s="6" t="s">
        <v>386</v>
      </c>
      <c r="C42" s="6" t="s">
        <v>2782</v>
      </c>
      <c r="D42" s="6" t="s">
        <v>7</v>
      </c>
      <c r="E42" s="46" t="s">
        <v>2783</v>
      </c>
      <c r="F42" s="6"/>
      <c r="G42" s="6" t="s">
        <v>2784</v>
      </c>
    </row>
    <row r="43">
      <c r="A43" s="2" t="s">
        <v>2785</v>
      </c>
      <c r="B43" s="6" t="s">
        <v>386</v>
      </c>
      <c r="C43" s="6" t="s">
        <v>388</v>
      </c>
      <c r="D43" s="6" t="s">
        <v>7</v>
      </c>
      <c r="E43" s="6" t="s">
        <v>2786</v>
      </c>
      <c r="F43" s="6" t="s">
        <v>2787</v>
      </c>
      <c r="G43" s="6"/>
    </row>
    <row r="44">
      <c r="A44" s="45" t="s">
        <v>2788</v>
      </c>
      <c r="B44" s="6" t="s">
        <v>386</v>
      </c>
      <c r="C44" s="6" t="s">
        <v>388</v>
      </c>
      <c r="D44" s="6" t="s">
        <v>7</v>
      </c>
      <c r="E44" s="46" t="s">
        <v>2789</v>
      </c>
      <c r="F44" s="6"/>
      <c r="G44" s="6" t="s">
        <v>2790</v>
      </c>
    </row>
    <row r="45">
      <c r="A45" s="2" t="s">
        <v>2791</v>
      </c>
      <c r="B45" s="6" t="s">
        <v>386</v>
      </c>
      <c r="C45" s="6" t="s">
        <v>388</v>
      </c>
      <c r="D45" s="6" t="s">
        <v>7</v>
      </c>
      <c r="E45" s="6" t="s">
        <v>2792</v>
      </c>
      <c r="F45" s="6" t="s">
        <v>2793</v>
      </c>
      <c r="G45" s="6"/>
      <c r="H45" s="9" t="s">
        <v>2780</v>
      </c>
    </row>
    <row r="46">
      <c r="A46" s="2" t="s">
        <v>2794</v>
      </c>
      <c r="B46" s="6" t="s">
        <v>2795</v>
      </c>
      <c r="C46" s="6" t="s">
        <v>2796</v>
      </c>
      <c r="D46" s="6" t="s">
        <v>7</v>
      </c>
      <c r="E46" s="6" t="s">
        <v>2797</v>
      </c>
      <c r="F46" s="6" t="s">
        <v>2798</v>
      </c>
      <c r="G46" s="6"/>
      <c r="H46" s="9" t="s">
        <v>2799</v>
      </c>
    </row>
    <row r="47">
      <c r="A47" s="2" t="s">
        <v>2800</v>
      </c>
      <c r="B47" s="6" t="s">
        <v>313</v>
      </c>
      <c r="C47" s="6" t="s">
        <v>315</v>
      </c>
      <c r="D47" s="6" t="s">
        <v>7</v>
      </c>
      <c r="E47" s="6" t="s">
        <v>2801</v>
      </c>
      <c r="F47" s="6" t="s">
        <v>2802</v>
      </c>
      <c r="G47" s="6" t="s">
        <v>2803</v>
      </c>
    </row>
    <row r="48">
      <c r="A48" s="2" t="s">
        <v>2266</v>
      </c>
      <c r="B48" s="6" t="s">
        <v>313</v>
      </c>
      <c r="C48" s="6" t="s">
        <v>2804</v>
      </c>
      <c r="D48" s="6" t="s">
        <v>7</v>
      </c>
      <c r="E48" s="6" t="s">
        <v>2270</v>
      </c>
      <c r="F48" s="6" t="s">
        <v>2805</v>
      </c>
      <c r="G48" s="6" t="s">
        <v>2806</v>
      </c>
    </row>
    <row r="49">
      <c r="A49" s="50" t="s">
        <v>2807</v>
      </c>
      <c r="B49" s="6" t="s">
        <v>313</v>
      </c>
      <c r="C49" s="6" t="s">
        <v>2808</v>
      </c>
      <c r="D49" s="6" t="s">
        <v>7</v>
      </c>
      <c r="E49" s="49" t="s">
        <v>2809</v>
      </c>
      <c r="F49" s="6"/>
      <c r="G49" s="49" t="s">
        <v>2810</v>
      </c>
    </row>
    <row r="50">
      <c r="A50" s="50" t="s">
        <v>2811</v>
      </c>
      <c r="B50" s="6" t="s">
        <v>313</v>
      </c>
      <c r="C50" s="6" t="s">
        <v>2812</v>
      </c>
      <c r="D50" s="6" t="s">
        <v>7</v>
      </c>
      <c r="E50" s="49" t="s">
        <v>2813</v>
      </c>
      <c r="F50" s="6"/>
      <c r="G50" s="48"/>
    </row>
    <row r="51">
      <c r="A51" s="50" t="s">
        <v>2814</v>
      </c>
      <c r="B51" s="6" t="s">
        <v>313</v>
      </c>
      <c r="C51" s="6" t="s">
        <v>2815</v>
      </c>
      <c r="D51" s="6" t="s">
        <v>7</v>
      </c>
      <c r="E51" s="49" t="s">
        <v>2816</v>
      </c>
      <c r="F51" s="6"/>
      <c r="G51" s="48"/>
    </row>
    <row r="52">
      <c r="A52" s="50" t="s">
        <v>2817</v>
      </c>
      <c r="B52" s="6" t="s">
        <v>313</v>
      </c>
      <c r="C52" s="6" t="s">
        <v>2818</v>
      </c>
      <c r="D52" s="6" t="s">
        <v>7</v>
      </c>
      <c r="E52" s="49" t="s">
        <v>2819</v>
      </c>
      <c r="F52" s="6"/>
      <c r="G52" s="48"/>
    </row>
    <row r="53">
      <c r="A53" s="50" t="s">
        <v>2820</v>
      </c>
      <c r="B53" s="6" t="s">
        <v>313</v>
      </c>
      <c r="C53" s="6" t="s">
        <v>2821</v>
      </c>
      <c r="D53" s="6" t="s">
        <v>7</v>
      </c>
      <c r="E53" s="49" t="s">
        <v>2822</v>
      </c>
      <c r="F53" s="6"/>
      <c r="G53" s="48"/>
    </row>
    <row r="54">
      <c r="A54" s="50" t="s">
        <v>2823</v>
      </c>
      <c r="B54" s="6" t="s">
        <v>313</v>
      </c>
      <c r="C54" s="6" t="s">
        <v>2824</v>
      </c>
      <c r="D54" s="6" t="s">
        <v>7</v>
      </c>
      <c r="E54" s="49" t="s">
        <v>2825</v>
      </c>
      <c r="F54" s="6"/>
      <c r="G54" s="48" t="s">
        <v>1651</v>
      </c>
    </row>
    <row r="55">
      <c r="A55" s="50" t="s">
        <v>2826</v>
      </c>
      <c r="B55" s="6" t="s">
        <v>313</v>
      </c>
      <c r="C55" s="6" t="s">
        <v>2827</v>
      </c>
      <c r="D55" s="6" t="s">
        <v>7</v>
      </c>
      <c r="E55" s="49" t="s">
        <v>2828</v>
      </c>
      <c r="F55" s="6"/>
      <c r="G55" s="48"/>
    </row>
    <row r="56">
      <c r="A56" s="50" t="s">
        <v>2829</v>
      </c>
      <c r="B56" s="6" t="s">
        <v>313</v>
      </c>
      <c r="C56" s="6" t="s">
        <v>2830</v>
      </c>
      <c r="D56" s="6" t="s">
        <v>7</v>
      </c>
      <c r="E56" s="49" t="s">
        <v>2831</v>
      </c>
      <c r="F56" s="6"/>
      <c r="G56" s="48" t="s">
        <v>2832</v>
      </c>
    </row>
    <row r="57">
      <c r="A57" s="2" t="s">
        <v>2833</v>
      </c>
      <c r="B57" s="6" t="s">
        <v>313</v>
      </c>
      <c r="C57" s="6" t="s">
        <v>315</v>
      </c>
      <c r="D57" s="6" t="s">
        <v>7</v>
      </c>
      <c r="E57" s="6" t="s">
        <v>2834</v>
      </c>
      <c r="F57" s="6" t="s">
        <v>2835</v>
      </c>
      <c r="G57" s="6"/>
    </row>
    <row r="58" ht="15.75" customHeight="1">
      <c r="A58" s="2" t="s">
        <v>2836</v>
      </c>
      <c r="B58" s="6" t="s">
        <v>313</v>
      </c>
      <c r="C58" s="6">
        <v>44000.0</v>
      </c>
      <c r="D58" s="6" t="s">
        <v>7</v>
      </c>
      <c r="E58" s="6" t="s">
        <v>2837</v>
      </c>
      <c r="F58" s="6" t="s">
        <v>2838</v>
      </c>
      <c r="G58" s="6"/>
    </row>
    <row r="59" ht="15.75" customHeight="1">
      <c r="A59" s="2" t="s">
        <v>2839</v>
      </c>
      <c r="B59" s="6" t="s">
        <v>313</v>
      </c>
      <c r="C59" s="6">
        <v>44100.0</v>
      </c>
      <c r="D59" s="6" t="s">
        <v>7</v>
      </c>
      <c r="E59" s="6" t="s">
        <v>2840</v>
      </c>
      <c r="F59" s="6" t="s">
        <v>2841</v>
      </c>
      <c r="G59" s="6" t="s">
        <v>2842</v>
      </c>
      <c r="H59" s="9" t="s">
        <v>2843</v>
      </c>
    </row>
    <row r="60" ht="15.75" customHeight="1">
      <c r="A60" s="2" t="s">
        <v>2844</v>
      </c>
      <c r="B60" s="6" t="s">
        <v>313</v>
      </c>
      <c r="C60" s="6">
        <v>44300.0</v>
      </c>
      <c r="D60" s="6" t="s">
        <v>7</v>
      </c>
      <c r="E60" s="6" t="s">
        <v>2845</v>
      </c>
      <c r="F60" s="6" t="s">
        <v>2234</v>
      </c>
      <c r="G60" s="6"/>
    </row>
    <row r="61" ht="15.75" customHeight="1">
      <c r="A61" s="2" t="s">
        <v>2846</v>
      </c>
      <c r="B61" s="6" t="s">
        <v>313</v>
      </c>
      <c r="C61" s="6">
        <v>44000.0</v>
      </c>
      <c r="D61" s="6" t="s">
        <v>7</v>
      </c>
      <c r="E61" s="6" t="s">
        <v>2847</v>
      </c>
      <c r="F61" s="6" t="s">
        <v>2848</v>
      </c>
      <c r="G61" s="6"/>
    </row>
    <row r="62" ht="15.75" customHeight="1">
      <c r="A62" s="2" t="s">
        <v>2849</v>
      </c>
      <c r="B62" s="6" t="s">
        <v>2850</v>
      </c>
      <c r="C62" s="6" t="s">
        <v>2851</v>
      </c>
      <c r="D62" s="6" t="s">
        <v>7</v>
      </c>
      <c r="E62" s="6" t="s">
        <v>2852</v>
      </c>
      <c r="F62" s="6" t="s">
        <v>2853</v>
      </c>
      <c r="G62" s="6"/>
    </row>
    <row r="63" ht="15.75" customHeight="1">
      <c r="A63" s="2" t="s">
        <v>2854</v>
      </c>
      <c r="B63" s="6" t="s">
        <v>1066</v>
      </c>
      <c r="C63" s="6" t="s">
        <v>703</v>
      </c>
      <c r="D63" s="6" t="s">
        <v>7</v>
      </c>
      <c r="E63" s="6" t="s">
        <v>2855</v>
      </c>
      <c r="F63" s="6" t="s">
        <v>2856</v>
      </c>
      <c r="G63" s="6" t="s">
        <v>2857</v>
      </c>
    </row>
    <row r="64" ht="15.75" customHeight="1">
      <c r="A64" s="2" t="s">
        <v>2858</v>
      </c>
      <c r="B64" s="6" t="s">
        <v>387</v>
      </c>
      <c r="C64" s="6" t="s">
        <v>390</v>
      </c>
      <c r="D64" s="6" t="s">
        <v>7</v>
      </c>
      <c r="E64" s="6" t="s">
        <v>2859</v>
      </c>
      <c r="F64" s="6" t="s">
        <v>2860</v>
      </c>
      <c r="G64" s="6"/>
      <c r="H64" s="9" t="s">
        <v>2861</v>
      </c>
    </row>
    <row r="65" ht="15.75" customHeight="1">
      <c r="A65" s="2" t="s">
        <v>2862</v>
      </c>
      <c r="B65" s="6" t="s">
        <v>387</v>
      </c>
      <c r="C65" s="6" t="s">
        <v>390</v>
      </c>
      <c r="D65" s="6" t="s">
        <v>7</v>
      </c>
      <c r="E65" s="6" t="s">
        <v>2863</v>
      </c>
      <c r="F65" s="6" t="s">
        <v>2864</v>
      </c>
      <c r="G65" s="6" t="s">
        <v>2865</v>
      </c>
    </row>
    <row r="66" ht="15.75" customHeight="1">
      <c r="A66" s="2" t="s">
        <v>2866</v>
      </c>
      <c r="B66" s="6" t="s">
        <v>387</v>
      </c>
      <c r="C66" s="6" t="s">
        <v>390</v>
      </c>
      <c r="D66" s="6" t="s">
        <v>7</v>
      </c>
      <c r="E66" s="6" t="s">
        <v>2867</v>
      </c>
      <c r="F66" s="6" t="s">
        <v>2868</v>
      </c>
      <c r="G66" s="6"/>
      <c r="H66" s="9"/>
    </row>
    <row r="67" ht="15.75" customHeight="1">
      <c r="A67" s="2" t="s">
        <v>2696</v>
      </c>
      <c r="B67" s="6" t="s">
        <v>413</v>
      </c>
      <c r="C67" s="6" t="s">
        <v>415</v>
      </c>
      <c r="D67" s="6" t="s">
        <v>7</v>
      </c>
      <c r="E67" s="6" t="s">
        <v>2869</v>
      </c>
      <c r="F67" s="6" t="s">
        <v>2870</v>
      </c>
      <c r="G67" s="6" t="s">
        <v>2871</v>
      </c>
    </row>
    <row r="68" ht="15.75" customHeight="1">
      <c r="A68" s="2" t="s">
        <v>2872</v>
      </c>
      <c r="B68" s="6" t="s">
        <v>413</v>
      </c>
      <c r="C68" s="6" t="s">
        <v>415</v>
      </c>
      <c r="D68" s="6" t="s">
        <v>7</v>
      </c>
      <c r="E68" s="6" t="s">
        <v>2873</v>
      </c>
      <c r="F68" s="6" t="s">
        <v>2874</v>
      </c>
      <c r="G68" s="6"/>
    </row>
    <row r="69" ht="15.75" customHeight="1">
      <c r="A69" s="2" t="s">
        <v>2875</v>
      </c>
      <c r="B69" s="6" t="s">
        <v>413</v>
      </c>
      <c r="C69" s="6" t="s">
        <v>415</v>
      </c>
      <c r="D69" s="6" t="s">
        <v>7</v>
      </c>
      <c r="E69" s="6" t="s">
        <v>2876</v>
      </c>
      <c r="F69" s="6" t="s">
        <v>2877</v>
      </c>
      <c r="G69" s="6" t="s">
        <v>2878</v>
      </c>
    </row>
    <row r="70" ht="15.75" customHeight="1">
      <c r="A70" s="50" t="s">
        <v>2879</v>
      </c>
      <c r="B70" s="6" t="s">
        <v>413</v>
      </c>
      <c r="C70" s="6" t="s">
        <v>2880</v>
      </c>
      <c r="D70" s="6" t="s">
        <v>7</v>
      </c>
      <c r="E70" s="49" t="s">
        <v>2881</v>
      </c>
      <c r="F70" s="6"/>
      <c r="G70" s="49" t="s">
        <v>2882</v>
      </c>
    </row>
    <row r="71" ht="15.75" customHeight="1">
      <c r="A71" s="2" t="s">
        <v>2883</v>
      </c>
      <c r="B71" s="6" t="s">
        <v>413</v>
      </c>
      <c r="C71" s="6" t="s">
        <v>415</v>
      </c>
      <c r="D71" s="6" t="s">
        <v>7</v>
      </c>
      <c r="E71" s="6" t="s">
        <v>2884</v>
      </c>
      <c r="F71" s="6" t="s">
        <v>2885</v>
      </c>
      <c r="G71" s="6" t="s">
        <v>2886</v>
      </c>
    </row>
    <row r="72" ht="15.75" customHeight="1">
      <c r="A72" s="2" t="s">
        <v>2887</v>
      </c>
      <c r="B72" s="6" t="s">
        <v>413</v>
      </c>
      <c r="C72" s="6">
        <v>44380.0</v>
      </c>
      <c r="D72" s="6" t="s">
        <v>7</v>
      </c>
      <c r="E72" s="6" t="s">
        <v>2888</v>
      </c>
      <c r="F72" s="6" t="s">
        <v>2889</v>
      </c>
      <c r="G72" s="6" t="s">
        <v>2890</v>
      </c>
    </row>
    <row r="73" ht="15.75" customHeight="1">
      <c r="A73" s="2" t="s">
        <v>2891</v>
      </c>
      <c r="B73" s="6" t="s">
        <v>790</v>
      </c>
      <c r="C73" s="6" t="s">
        <v>286</v>
      </c>
      <c r="D73" s="6" t="s">
        <v>7</v>
      </c>
      <c r="E73" s="6" t="s">
        <v>2892</v>
      </c>
      <c r="F73" s="6" t="s">
        <v>2893</v>
      </c>
      <c r="G73" s="6" t="s">
        <v>2894</v>
      </c>
    </row>
    <row r="74" ht="15.75" customHeight="1">
      <c r="A74" s="2" t="s">
        <v>2895</v>
      </c>
      <c r="B74" s="6" t="s">
        <v>2896</v>
      </c>
      <c r="C74" s="6" t="s">
        <v>2897</v>
      </c>
      <c r="D74" s="6" t="s">
        <v>7</v>
      </c>
      <c r="E74" s="2" t="s">
        <v>2898</v>
      </c>
      <c r="F74" s="6" t="s">
        <v>2899</v>
      </c>
      <c r="G74" s="6" t="s">
        <v>2900</v>
      </c>
      <c r="H74" s="43" t="s">
        <v>2901</v>
      </c>
    </row>
    <row r="75" ht="15.75" customHeight="1">
      <c r="A75" s="2" t="s">
        <v>2902</v>
      </c>
      <c r="B75" s="6" t="s">
        <v>771</v>
      </c>
      <c r="C75" s="6" t="s">
        <v>2903</v>
      </c>
      <c r="D75" s="6" t="s">
        <v>7</v>
      </c>
      <c r="E75" s="6" t="s">
        <v>2904</v>
      </c>
      <c r="F75" s="6" t="s">
        <v>2905</v>
      </c>
      <c r="G75" s="6"/>
      <c r="H75" s="9" t="s">
        <v>2906</v>
      </c>
    </row>
    <row r="76" ht="15.75" customHeight="1">
      <c r="A76" s="2" t="s">
        <v>2907</v>
      </c>
      <c r="B76" s="6" t="s">
        <v>2908</v>
      </c>
      <c r="C76" s="6">
        <v>44720.0</v>
      </c>
      <c r="D76" s="6" t="s">
        <v>7</v>
      </c>
      <c r="E76" s="6" t="s">
        <v>2909</v>
      </c>
      <c r="F76" s="6" t="s">
        <v>2910</v>
      </c>
      <c r="G76" s="6"/>
    </row>
    <row r="77" ht="15.75" customHeight="1">
      <c r="A77" s="2" t="s">
        <v>2911</v>
      </c>
      <c r="B77" s="6" t="s">
        <v>926</v>
      </c>
      <c r="C77" s="6" t="s">
        <v>412</v>
      </c>
      <c r="D77" s="6" t="s">
        <v>7</v>
      </c>
      <c r="E77" s="6" t="s">
        <v>2912</v>
      </c>
      <c r="F77" s="6" t="s">
        <v>2913</v>
      </c>
      <c r="G77" s="6" t="s">
        <v>2914</v>
      </c>
    </row>
    <row r="78" ht="15.75" customHeight="1">
      <c r="A78" s="2" t="s">
        <v>2915</v>
      </c>
      <c r="B78" s="6" t="s">
        <v>1188</v>
      </c>
      <c r="C78" s="6" t="s">
        <v>51</v>
      </c>
      <c r="D78" s="6" t="s">
        <v>7</v>
      </c>
      <c r="E78" s="2" t="s">
        <v>2916</v>
      </c>
      <c r="F78" s="6" t="s">
        <v>2917</v>
      </c>
      <c r="G78" s="6"/>
      <c r="H78" s="43" t="s">
        <v>2918</v>
      </c>
    </row>
    <row r="79" ht="15.75" customHeight="1">
      <c r="A79" s="2" t="s">
        <v>2919</v>
      </c>
      <c r="B79" s="6"/>
      <c r="C79" s="6"/>
      <c r="D79" s="6"/>
      <c r="E79" s="6" t="s">
        <v>2920</v>
      </c>
      <c r="F79" s="36"/>
      <c r="G79" s="36" t="s">
        <v>2921</v>
      </c>
    </row>
    <row r="80" ht="15.75" customHeight="1">
      <c r="A80" s="45" t="s">
        <v>2922</v>
      </c>
      <c r="B80" s="36"/>
      <c r="C80" s="36"/>
      <c r="D80" s="36"/>
      <c r="E80" s="51" t="s">
        <v>2923</v>
      </c>
      <c r="F80" s="36"/>
      <c r="G80" s="36" t="s">
        <v>2924</v>
      </c>
    </row>
    <row r="81" ht="15.75" customHeight="1">
      <c r="A81" s="50" t="s">
        <v>2925</v>
      </c>
      <c r="B81" s="36"/>
      <c r="C81" s="36"/>
      <c r="D81" s="36"/>
      <c r="E81" s="49" t="s">
        <v>499</v>
      </c>
      <c r="F81" s="36"/>
      <c r="G81" s="49" t="s">
        <v>2926</v>
      </c>
    </row>
    <row r="82" ht="15.75" customHeight="1">
      <c r="A82" s="50" t="s">
        <v>2927</v>
      </c>
      <c r="B82" s="36"/>
      <c r="C82" s="36"/>
      <c r="D82" s="36"/>
      <c r="E82" s="49" t="s">
        <v>2928</v>
      </c>
      <c r="F82" s="36"/>
      <c r="G82" s="48" t="s">
        <v>2929</v>
      </c>
    </row>
    <row r="83" ht="15.75" customHeight="1">
      <c r="A83" s="50" t="s">
        <v>2930</v>
      </c>
      <c r="B83" s="36"/>
      <c r="C83" s="36"/>
      <c r="D83" s="36"/>
      <c r="E83" s="49" t="s">
        <v>2931</v>
      </c>
      <c r="F83" s="36"/>
      <c r="G83" s="48" t="s">
        <v>2932</v>
      </c>
    </row>
    <row r="84" ht="15.75" customHeight="1">
      <c r="A84" s="50" t="s">
        <v>2933</v>
      </c>
      <c r="B84" s="36"/>
      <c r="C84" s="36"/>
      <c r="D84" s="36"/>
      <c r="E84" s="49" t="s">
        <v>2934</v>
      </c>
      <c r="F84" s="36"/>
      <c r="G84" s="48" t="s">
        <v>2832</v>
      </c>
    </row>
    <row r="85" ht="15.75" customHeight="1">
      <c r="A85" s="50" t="s">
        <v>2935</v>
      </c>
      <c r="B85" s="36"/>
      <c r="C85" s="36"/>
      <c r="D85" s="36"/>
      <c r="E85" s="49" t="s">
        <v>2936</v>
      </c>
      <c r="F85" s="36"/>
      <c r="G85" s="48"/>
    </row>
    <row r="86" ht="15.75" customHeight="1">
      <c r="A86" s="50" t="s">
        <v>2937</v>
      </c>
      <c r="B86" s="36"/>
      <c r="C86" s="36"/>
      <c r="D86" s="36"/>
      <c r="E86" s="48" t="s">
        <v>2938</v>
      </c>
      <c r="F86" s="36"/>
      <c r="G86" s="48" t="s">
        <v>2939</v>
      </c>
    </row>
    <row r="87" ht="15.75" customHeight="1">
      <c r="A87" s="50" t="s">
        <v>2940</v>
      </c>
      <c r="B87" s="36"/>
      <c r="C87" s="36"/>
      <c r="D87" s="36"/>
      <c r="E87" s="49" t="s">
        <v>2941</v>
      </c>
      <c r="F87" s="36"/>
      <c r="G87" s="49" t="s">
        <v>1491</v>
      </c>
    </row>
    <row r="88" ht="15.75" customHeight="1">
      <c r="A88" s="47"/>
      <c r="B88" s="36"/>
      <c r="C88" s="36"/>
      <c r="D88" s="36"/>
      <c r="E88" s="48"/>
      <c r="F88" s="36"/>
      <c r="G88" s="48"/>
    </row>
    <row r="89" ht="15.75" customHeight="1">
      <c r="A89" s="47"/>
      <c r="B89" s="36"/>
      <c r="C89" s="36"/>
      <c r="D89" s="36"/>
      <c r="E89" s="48"/>
      <c r="F89" s="36"/>
      <c r="G89" s="48"/>
    </row>
    <row r="90" ht="15.75" customHeight="1">
      <c r="A90" s="47"/>
      <c r="B90" s="36"/>
      <c r="C90" s="36"/>
      <c r="D90" s="36"/>
      <c r="E90" s="48"/>
      <c r="F90" s="36"/>
      <c r="G90" s="48"/>
    </row>
    <row r="91" ht="15.75" customHeight="1">
      <c r="A91" s="47"/>
      <c r="B91" s="36"/>
      <c r="C91" s="36"/>
      <c r="D91" s="36"/>
      <c r="E91" s="48"/>
      <c r="F91" s="36"/>
      <c r="G91" s="48"/>
    </row>
    <row r="92" ht="15.75" customHeight="1">
      <c r="A92" s="47"/>
      <c r="B92" s="36"/>
      <c r="C92" s="36"/>
      <c r="D92" s="36"/>
      <c r="E92" s="48"/>
      <c r="F92" s="36"/>
      <c r="G92" s="48"/>
    </row>
    <row r="93" ht="15.75" customHeight="1">
      <c r="A93" s="35" t="s">
        <v>2942</v>
      </c>
      <c r="B93" s="36"/>
      <c r="C93" s="36"/>
      <c r="D93" s="36" t="s">
        <v>7</v>
      </c>
      <c r="E93" s="36" t="s">
        <v>2943</v>
      </c>
      <c r="F93" s="36" t="s">
        <v>2944</v>
      </c>
      <c r="G93" s="36"/>
    </row>
    <row r="94" ht="15.75" customHeight="1">
      <c r="A94" s="35" t="s">
        <v>2945</v>
      </c>
      <c r="B94" s="36"/>
      <c r="C94" s="36"/>
      <c r="D94" s="36" t="s">
        <v>7</v>
      </c>
      <c r="E94" s="36" t="s">
        <v>2946</v>
      </c>
      <c r="F94" s="36" t="s">
        <v>2947</v>
      </c>
      <c r="G94" s="36"/>
    </row>
    <row r="95" ht="15.75" customHeight="1">
      <c r="A95" s="35" t="s">
        <v>2948</v>
      </c>
      <c r="B95" s="36"/>
      <c r="C95" s="36"/>
      <c r="D95" s="36" t="s">
        <v>7</v>
      </c>
      <c r="E95" s="36" t="s">
        <v>2949</v>
      </c>
      <c r="F95" s="36" t="s">
        <v>2950</v>
      </c>
      <c r="G95" s="36"/>
    </row>
    <row r="96" ht="15.75" customHeight="1">
      <c r="A96" s="35" t="s">
        <v>2951</v>
      </c>
      <c r="B96" s="36"/>
      <c r="C96" s="36"/>
      <c r="D96" s="36" t="s">
        <v>7</v>
      </c>
      <c r="E96" s="36" t="s">
        <v>2952</v>
      </c>
      <c r="F96" s="36" t="s">
        <v>2953</v>
      </c>
      <c r="G96" s="36"/>
    </row>
    <row r="97" ht="15.75" customHeight="1">
      <c r="A97" s="35" t="s">
        <v>2954</v>
      </c>
      <c r="B97" s="36"/>
      <c r="C97" s="36"/>
      <c r="D97" s="36" t="s">
        <v>7</v>
      </c>
      <c r="E97" s="36" t="s">
        <v>2955</v>
      </c>
      <c r="F97" s="36" t="s">
        <v>2956</v>
      </c>
      <c r="G97" s="36"/>
    </row>
    <row r="98" ht="15.75" customHeight="1">
      <c r="A98" s="35" t="s">
        <v>2696</v>
      </c>
      <c r="B98" s="36"/>
      <c r="C98" s="36"/>
      <c r="D98" s="36" t="s">
        <v>7</v>
      </c>
      <c r="E98" s="36" t="s">
        <v>2957</v>
      </c>
      <c r="F98" s="36" t="s">
        <v>2958</v>
      </c>
      <c r="G98" s="36"/>
    </row>
    <row r="99" ht="15.75" customHeight="1">
      <c r="A99" s="35" t="s">
        <v>2959</v>
      </c>
      <c r="B99" s="36"/>
      <c r="C99" s="36"/>
      <c r="D99" s="36" t="s">
        <v>7</v>
      </c>
      <c r="E99" s="36" t="s">
        <v>2960</v>
      </c>
      <c r="F99" s="36" t="s">
        <v>2961</v>
      </c>
      <c r="G99" s="36"/>
    </row>
    <row r="100" ht="15.75" customHeight="1">
      <c r="A100" s="35" t="s">
        <v>2962</v>
      </c>
      <c r="B100" s="36"/>
      <c r="C100" s="36"/>
      <c r="D100" s="36" t="s">
        <v>7</v>
      </c>
      <c r="E100" s="36" t="s">
        <v>2963</v>
      </c>
      <c r="F100" s="36" t="s">
        <v>2964</v>
      </c>
      <c r="G100" s="36"/>
    </row>
    <row r="101" ht="15.75" customHeight="1">
      <c r="A101" s="35" t="s">
        <v>2965</v>
      </c>
      <c r="B101" s="36"/>
      <c r="C101" s="36"/>
      <c r="D101" s="36" t="s">
        <v>7</v>
      </c>
      <c r="E101" s="36" t="s">
        <v>2966</v>
      </c>
      <c r="F101" s="36" t="s">
        <v>2967</v>
      </c>
      <c r="G101" s="36"/>
    </row>
    <row r="102" ht="15.75" customHeight="1">
      <c r="A102" s="20" t="s">
        <v>2968</v>
      </c>
      <c r="B102" s="21"/>
      <c r="C102" s="21"/>
      <c r="D102" s="21" t="s">
        <v>7</v>
      </c>
      <c r="E102" s="21" t="s">
        <v>2969</v>
      </c>
      <c r="F102" s="21" t="s">
        <v>2970</v>
      </c>
      <c r="G102" s="21"/>
    </row>
    <row r="103" ht="15.75" customHeight="1">
      <c r="A103" s="20" t="s">
        <v>2971</v>
      </c>
      <c r="B103" s="21"/>
      <c r="C103" s="21"/>
      <c r="D103" s="21" t="s">
        <v>7</v>
      </c>
      <c r="E103" s="21" t="s">
        <v>2972</v>
      </c>
      <c r="F103" s="21" t="s">
        <v>2973</v>
      </c>
      <c r="G103" s="21"/>
    </row>
    <row r="104" ht="15.75" customHeight="1">
      <c r="A104" s="20" t="s">
        <v>2974</v>
      </c>
      <c r="B104" s="21"/>
      <c r="C104" s="21"/>
      <c r="D104" s="21" t="s">
        <v>7</v>
      </c>
      <c r="E104" s="21" t="s">
        <v>2975</v>
      </c>
      <c r="F104" s="21" t="s">
        <v>2976</v>
      </c>
      <c r="G104" s="21"/>
    </row>
    <row r="105" ht="15.75" customHeight="1">
      <c r="A105" s="20" t="s">
        <v>2977</v>
      </c>
      <c r="B105" s="21"/>
      <c r="C105" s="21"/>
      <c r="D105" s="21" t="s">
        <v>7</v>
      </c>
      <c r="E105" s="21" t="s">
        <v>2978</v>
      </c>
      <c r="F105" s="21" t="s">
        <v>2979</v>
      </c>
      <c r="G105" s="21"/>
    </row>
    <row r="106" ht="15.75" customHeight="1">
      <c r="A106" s="20" t="s">
        <v>2980</v>
      </c>
      <c r="B106" s="21"/>
      <c r="C106" s="21"/>
      <c r="D106" s="21" t="s">
        <v>7</v>
      </c>
      <c r="E106" s="21" t="s">
        <v>2981</v>
      </c>
      <c r="F106" s="21" t="s">
        <v>2982</v>
      </c>
      <c r="G106" s="21"/>
    </row>
    <row r="107" ht="15.75" customHeight="1">
      <c r="A107" s="20" t="s">
        <v>2983</v>
      </c>
      <c r="B107" s="21"/>
      <c r="C107" s="21"/>
      <c r="D107" s="21" t="s">
        <v>7</v>
      </c>
      <c r="E107" s="21" t="s">
        <v>2984</v>
      </c>
      <c r="F107" s="21" t="s">
        <v>2985</v>
      </c>
      <c r="G107" s="21"/>
    </row>
    <row r="108" ht="15.75" customHeight="1">
      <c r="A108" s="20" t="s">
        <v>2986</v>
      </c>
      <c r="B108" s="21"/>
      <c r="C108" s="21"/>
      <c r="D108" s="21" t="s">
        <v>7</v>
      </c>
      <c r="E108" s="21" t="s">
        <v>2987</v>
      </c>
      <c r="F108" s="21" t="s">
        <v>2988</v>
      </c>
      <c r="G108" s="21"/>
    </row>
    <row r="109" ht="15.75" customHeight="1">
      <c r="A109" s="20" t="s">
        <v>2989</v>
      </c>
      <c r="B109" s="21"/>
      <c r="C109" s="21"/>
      <c r="D109" s="21" t="s">
        <v>7</v>
      </c>
      <c r="E109" s="21" t="s">
        <v>2990</v>
      </c>
      <c r="F109" s="21" t="s">
        <v>2991</v>
      </c>
      <c r="G109" s="21"/>
    </row>
    <row r="110" ht="15.75" customHeight="1">
      <c r="A110" s="20" t="s">
        <v>2992</v>
      </c>
      <c r="B110" s="21"/>
      <c r="C110" s="21"/>
      <c r="D110" s="21" t="s">
        <v>7</v>
      </c>
      <c r="E110" s="21" t="s">
        <v>2993</v>
      </c>
      <c r="F110" s="21" t="s">
        <v>2994</v>
      </c>
      <c r="G110" s="21"/>
    </row>
    <row r="111" ht="15.75" customHeight="1">
      <c r="A111" s="20" t="s">
        <v>2995</v>
      </c>
      <c r="B111" s="21"/>
      <c r="C111" s="21"/>
      <c r="D111" s="21" t="s">
        <v>7</v>
      </c>
      <c r="E111" s="21" t="s">
        <v>2996</v>
      </c>
      <c r="F111" s="21" t="s">
        <v>2997</v>
      </c>
      <c r="G111" s="21"/>
    </row>
    <row r="112" ht="15.75" customHeight="1">
      <c r="A112" s="20" t="s">
        <v>2998</v>
      </c>
      <c r="B112" s="21"/>
      <c r="C112" s="21"/>
      <c r="D112" s="21" t="s">
        <v>7</v>
      </c>
      <c r="E112" s="21" t="s">
        <v>2999</v>
      </c>
      <c r="F112" s="21" t="s">
        <v>3000</v>
      </c>
      <c r="G112" s="21"/>
    </row>
    <row r="113" ht="15.75" customHeight="1">
      <c r="A113" s="20" t="s">
        <v>3001</v>
      </c>
      <c r="B113" s="21"/>
      <c r="C113" s="21"/>
      <c r="D113" s="21" t="s">
        <v>7</v>
      </c>
      <c r="E113" s="21" t="s">
        <v>3002</v>
      </c>
      <c r="F113" s="21" t="s">
        <v>3003</v>
      </c>
      <c r="G113" s="21"/>
    </row>
    <row r="114" ht="15.75" customHeight="1">
      <c r="A114" s="20" t="s">
        <v>3004</v>
      </c>
      <c r="B114" s="21"/>
      <c r="C114" s="21"/>
      <c r="D114" s="21" t="s">
        <v>7</v>
      </c>
      <c r="E114" s="21" t="s">
        <v>3005</v>
      </c>
      <c r="F114" s="21" t="s">
        <v>3006</v>
      </c>
      <c r="G114" s="21"/>
    </row>
    <row r="115" ht="15.75" customHeight="1">
      <c r="A115" s="20" t="s">
        <v>3007</v>
      </c>
      <c r="B115" s="21"/>
      <c r="C115" s="21"/>
      <c r="D115" s="21" t="s">
        <v>7</v>
      </c>
      <c r="E115" s="21" t="s">
        <v>3008</v>
      </c>
      <c r="F115" s="21" t="s">
        <v>3009</v>
      </c>
      <c r="G115" s="21"/>
    </row>
    <row r="116" ht="15.75" customHeight="1">
      <c r="A116" s="20" t="s">
        <v>3010</v>
      </c>
      <c r="B116" s="21"/>
      <c r="C116" s="21"/>
      <c r="D116" s="21" t="s">
        <v>7</v>
      </c>
      <c r="E116" s="21" t="s">
        <v>3011</v>
      </c>
      <c r="F116" s="21" t="s">
        <v>3012</v>
      </c>
      <c r="G116" s="21"/>
    </row>
    <row r="117" ht="15.75" customHeight="1">
      <c r="A117" s="20" t="s">
        <v>3013</v>
      </c>
      <c r="B117" s="21"/>
      <c r="C117" s="21"/>
      <c r="D117" s="21" t="s">
        <v>7</v>
      </c>
      <c r="E117" s="21" t="s">
        <v>3014</v>
      </c>
      <c r="F117" s="21" t="s">
        <v>3015</v>
      </c>
      <c r="G117" s="21"/>
    </row>
    <row r="118" ht="15.75" customHeight="1">
      <c r="A118" s="20" t="s">
        <v>3016</v>
      </c>
      <c r="B118" s="21"/>
      <c r="C118" s="21"/>
      <c r="D118" s="21" t="s">
        <v>7</v>
      </c>
      <c r="E118" s="21" t="s">
        <v>3017</v>
      </c>
      <c r="F118" s="21" t="s">
        <v>3018</v>
      </c>
      <c r="G118" s="21"/>
    </row>
    <row r="119" ht="15.75" customHeight="1">
      <c r="A119" s="20" t="s">
        <v>3019</v>
      </c>
      <c r="B119" s="21"/>
      <c r="C119" s="21"/>
      <c r="D119" s="21" t="s">
        <v>7</v>
      </c>
      <c r="E119" s="21" t="s">
        <v>3020</v>
      </c>
      <c r="F119" s="21" t="s">
        <v>3021</v>
      </c>
      <c r="G119" s="21"/>
    </row>
    <row r="120" ht="15.75" customHeight="1">
      <c r="A120" s="20" t="s">
        <v>3022</v>
      </c>
      <c r="B120" s="21"/>
      <c r="C120" s="21"/>
      <c r="D120" s="21" t="s">
        <v>7</v>
      </c>
      <c r="E120" s="21" t="s">
        <v>3023</v>
      </c>
      <c r="F120" s="21" t="s">
        <v>3024</v>
      </c>
      <c r="G120" s="21"/>
    </row>
    <row r="121" ht="15.75" customHeight="1">
      <c r="A121" s="20" t="s">
        <v>3025</v>
      </c>
      <c r="B121" s="21"/>
      <c r="C121" s="21"/>
      <c r="D121" s="21" t="s">
        <v>7</v>
      </c>
      <c r="E121" s="21" t="s">
        <v>3026</v>
      </c>
      <c r="F121" s="21" t="s">
        <v>3027</v>
      </c>
      <c r="G121" s="21"/>
    </row>
    <row r="122" ht="15.75" customHeight="1">
      <c r="A122" s="20" t="s">
        <v>3028</v>
      </c>
      <c r="B122" s="21"/>
      <c r="C122" s="21"/>
      <c r="D122" s="21" t="s">
        <v>7</v>
      </c>
      <c r="E122" s="21" t="s">
        <v>2923</v>
      </c>
      <c r="F122" s="21" t="s">
        <v>3029</v>
      </c>
      <c r="G122" s="21"/>
    </row>
    <row r="123" ht="15.75" customHeight="1">
      <c r="A123" s="20" t="s">
        <v>3030</v>
      </c>
      <c r="B123" s="21"/>
      <c r="C123" s="21"/>
      <c r="D123" s="21" t="s">
        <v>7</v>
      </c>
      <c r="E123" s="21" t="s">
        <v>3031</v>
      </c>
      <c r="F123" s="21" t="s">
        <v>3032</v>
      </c>
      <c r="G123" s="21"/>
    </row>
    <row r="124" ht="15.75" customHeight="1">
      <c r="A124" s="20" t="s">
        <v>3033</v>
      </c>
      <c r="B124" s="21"/>
      <c r="C124" s="21"/>
      <c r="D124" s="21" t="s">
        <v>7</v>
      </c>
      <c r="E124" s="21" t="s">
        <v>3034</v>
      </c>
      <c r="F124" s="21" t="s">
        <v>3035</v>
      </c>
      <c r="G124" s="21"/>
    </row>
    <row r="125" ht="15.75" customHeight="1">
      <c r="A125" s="20" t="s">
        <v>3036</v>
      </c>
      <c r="B125" s="21"/>
      <c r="C125" s="21"/>
      <c r="D125" s="21" t="s">
        <v>7</v>
      </c>
      <c r="E125" s="21" t="s">
        <v>3037</v>
      </c>
      <c r="F125" s="21" t="s">
        <v>3038</v>
      </c>
      <c r="G125" s="21"/>
    </row>
    <row r="126" ht="15.75" customHeight="1">
      <c r="A126" s="20" t="s">
        <v>3039</v>
      </c>
      <c r="B126" s="21"/>
      <c r="C126" s="21"/>
      <c r="D126" s="21" t="s">
        <v>7</v>
      </c>
      <c r="E126" s="21" t="s">
        <v>3040</v>
      </c>
      <c r="F126" s="21" t="s">
        <v>3041</v>
      </c>
      <c r="G126" s="21"/>
    </row>
    <row r="127" ht="15.75" customHeight="1">
      <c r="A127" s="20" t="s">
        <v>3042</v>
      </c>
      <c r="B127" s="21"/>
      <c r="C127" s="21"/>
      <c r="D127" s="21" t="s">
        <v>7</v>
      </c>
      <c r="E127" s="21" t="s">
        <v>3043</v>
      </c>
      <c r="F127" s="21" t="s">
        <v>3044</v>
      </c>
      <c r="G127" s="21"/>
    </row>
    <row r="128" ht="15.75" customHeight="1">
      <c r="A128" s="20" t="s">
        <v>3045</v>
      </c>
      <c r="B128" s="21"/>
      <c r="C128" s="21"/>
      <c r="D128" s="21" t="s">
        <v>7</v>
      </c>
      <c r="E128" s="21" t="s">
        <v>3046</v>
      </c>
      <c r="F128" s="21" t="s">
        <v>3047</v>
      </c>
      <c r="G128" s="21"/>
    </row>
    <row r="129" ht="15.75" customHeight="1">
      <c r="A129" s="20" t="s">
        <v>3048</v>
      </c>
      <c r="B129" s="21"/>
      <c r="C129" s="21"/>
      <c r="D129" s="21" t="s">
        <v>7</v>
      </c>
      <c r="E129" s="21" t="s">
        <v>3049</v>
      </c>
      <c r="F129" s="21" t="s">
        <v>3050</v>
      </c>
      <c r="G129" s="21"/>
    </row>
    <row r="130" ht="15.75" customHeight="1">
      <c r="A130" s="20" t="s">
        <v>3051</v>
      </c>
      <c r="B130" s="21"/>
      <c r="C130" s="21"/>
      <c r="D130" s="21" t="s">
        <v>7</v>
      </c>
      <c r="E130" s="21" t="s">
        <v>3052</v>
      </c>
      <c r="F130" s="21" t="s">
        <v>3053</v>
      </c>
      <c r="G130" s="21"/>
    </row>
    <row r="131" ht="15.75" customHeight="1">
      <c r="A131" s="20" t="s">
        <v>3054</v>
      </c>
      <c r="B131" s="21"/>
      <c r="C131" s="21"/>
      <c r="D131" s="21" t="s">
        <v>7</v>
      </c>
      <c r="E131" s="21" t="s">
        <v>2147</v>
      </c>
      <c r="F131" s="21" t="s">
        <v>3055</v>
      </c>
      <c r="G131" s="21"/>
    </row>
    <row r="132" ht="15.75" customHeight="1">
      <c r="A132" s="20" t="s">
        <v>3056</v>
      </c>
      <c r="B132" s="21"/>
      <c r="C132" s="21"/>
      <c r="D132" s="21" t="s">
        <v>7</v>
      </c>
      <c r="E132" s="21" t="s">
        <v>3057</v>
      </c>
      <c r="F132" s="21" t="s">
        <v>3058</v>
      </c>
      <c r="G132" s="21"/>
    </row>
    <row r="133" ht="15.75" customHeight="1">
      <c r="A133" s="20" t="s">
        <v>3059</v>
      </c>
      <c r="B133" s="21"/>
      <c r="C133" s="21"/>
      <c r="D133" s="21" t="s">
        <v>7</v>
      </c>
      <c r="E133" s="21" t="s">
        <v>3060</v>
      </c>
      <c r="F133" s="21" t="s">
        <v>3061</v>
      </c>
      <c r="G133" s="21"/>
    </row>
    <row r="134" ht="15.75" customHeight="1">
      <c r="A134" s="20" t="s">
        <v>3062</v>
      </c>
      <c r="B134" s="21"/>
      <c r="C134" s="21"/>
      <c r="D134" s="21" t="s">
        <v>7</v>
      </c>
      <c r="E134" s="21" t="s">
        <v>3063</v>
      </c>
      <c r="F134" s="21" t="s">
        <v>3064</v>
      </c>
      <c r="G134" s="21"/>
    </row>
    <row r="135" ht="15.75" customHeight="1">
      <c r="A135" s="20" t="s">
        <v>3065</v>
      </c>
      <c r="B135" s="21"/>
      <c r="C135" s="21"/>
      <c r="D135" s="21" t="s">
        <v>7</v>
      </c>
      <c r="E135" s="21" t="s">
        <v>3066</v>
      </c>
      <c r="F135" s="21" t="s">
        <v>3067</v>
      </c>
      <c r="G135" s="21"/>
    </row>
    <row r="136" ht="15.75" customHeight="1">
      <c r="A136" s="20" t="s">
        <v>3068</v>
      </c>
      <c r="B136" s="21"/>
      <c r="C136" s="21"/>
      <c r="D136" s="21" t="s">
        <v>7</v>
      </c>
      <c r="E136" s="21" t="s">
        <v>3069</v>
      </c>
      <c r="F136" s="21" t="s">
        <v>3070</v>
      </c>
      <c r="G136" s="21"/>
    </row>
    <row r="137" ht="15.75" customHeight="1">
      <c r="A137" s="20" t="s">
        <v>3071</v>
      </c>
      <c r="B137" s="21"/>
      <c r="C137" s="21"/>
      <c r="D137" s="21" t="s">
        <v>7</v>
      </c>
      <c r="E137" s="21" t="s">
        <v>3072</v>
      </c>
      <c r="F137" s="21" t="s">
        <v>3073</v>
      </c>
      <c r="G137" s="21"/>
    </row>
    <row r="138" ht="15.75" customHeight="1">
      <c r="A138" s="20" t="s">
        <v>3074</v>
      </c>
      <c r="B138" s="21"/>
      <c r="C138" s="21"/>
      <c r="D138" s="21" t="s">
        <v>7</v>
      </c>
      <c r="E138" s="21" t="s">
        <v>3075</v>
      </c>
      <c r="F138" s="21" t="s">
        <v>3076</v>
      </c>
      <c r="G138" s="21"/>
    </row>
    <row r="139" ht="15.75" customHeight="1">
      <c r="A139" s="20" t="s">
        <v>3077</v>
      </c>
      <c r="B139" s="21"/>
      <c r="C139" s="21"/>
      <c r="D139" s="21" t="s">
        <v>7</v>
      </c>
      <c r="E139" s="21" t="s">
        <v>3078</v>
      </c>
      <c r="F139" s="21" t="s">
        <v>3079</v>
      </c>
      <c r="G139" s="21"/>
    </row>
    <row r="140" ht="15.75" customHeight="1">
      <c r="A140" s="20" t="s">
        <v>3080</v>
      </c>
      <c r="B140" s="21"/>
      <c r="C140" s="21"/>
      <c r="D140" s="21" t="s">
        <v>7</v>
      </c>
      <c r="E140" s="21" t="s">
        <v>3081</v>
      </c>
      <c r="F140" s="21" t="s">
        <v>3082</v>
      </c>
      <c r="G140" s="21"/>
    </row>
    <row r="141" ht="15.75" customHeight="1">
      <c r="A141" s="20" t="s">
        <v>3083</v>
      </c>
      <c r="B141" s="21"/>
      <c r="C141" s="21"/>
      <c r="D141" s="21" t="s">
        <v>7</v>
      </c>
      <c r="E141" s="21" t="s">
        <v>3084</v>
      </c>
      <c r="F141" s="21" t="s">
        <v>3085</v>
      </c>
      <c r="G141" s="21"/>
    </row>
    <row r="142" ht="15.75" customHeight="1">
      <c r="A142" s="20" t="s">
        <v>3086</v>
      </c>
      <c r="B142" s="21"/>
      <c r="C142" s="21"/>
      <c r="D142" s="21" t="s">
        <v>7</v>
      </c>
      <c r="E142" s="21" t="s">
        <v>3087</v>
      </c>
      <c r="F142" s="21" t="s">
        <v>3088</v>
      </c>
      <c r="G142" s="21"/>
    </row>
    <row r="143" ht="15.75" customHeight="1">
      <c r="A143" s="20" t="s">
        <v>3089</v>
      </c>
      <c r="B143" s="21"/>
      <c r="C143" s="21"/>
      <c r="D143" s="21" t="s">
        <v>7</v>
      </c>
      <c r="E143" s="21" t="s">
        <v>3090</v>
      </c>
      <c r="F143" s="21" t="s">
        <v>3091</v>
      </c>
      <c r="G143" s="21"/>
    </row>
    <row r="144" ht="15.75" customHeight="1">
      <c r="A144" s="20" t="s">
        <v>3092</v>
      </c>
      <c r="B144" s="21"/>
      <c r="C144" s="21"/>
      <c r="D144" s="21" t="s">
        <v>7</v>
      </c>
      <c r="E144" s="21" t="s">
        <v>3093</v>
      </c>
      <c r="F144" s="21" t="s">
        <v>3094</v>
      </c>
      <c r="G144" s="21"/>
    </row>
    <row r="145" ht="15.75" customHeight="1">
      <c r="A145" s="20" t="s">
        <v>3095</v>
      </c>
      <c r="B145" s="21"/>
      <c r="C145" s="21"/>
      <c r="D145" s="21" t="s">
        <v>7</v>
      </c>
      <c r="E145" s="21" t="s">
        <v>3096</v>
      </c>
      <c r="F145" s="21" t="s">
        <v>3097</v>
      </c>
      <c r="G145" s="21"/>
    </row>
    <row r="146" ht="15.75" customHeight="1">
      <c r="A146" s="20" t="s">
        <v>3098</v>
      </c>
      <c r="B146" s="21"/>
      <c r="C146" s="21"/>
      <c r="D146" s="21" t="s">
        <v>7</v>
      </c>
      <c r="E146" s="21" t="s">
        <v>3099</v>
      </c>
      <c r="F146" s="21" t="s">
        <v>3100</v>
      </c>
      <c r="G146" s="21"/>
    </row>
    <row r="147" ht="15.75" customHeight="1">
      <c r="A147" s="20" t="s">
        <v>3101</v>
      </c>
      <c r="B147" s="21"/>
      <c r="C147" s="21"/>
      <c r="D147" s="21" t="s">
        <v>7</v>
      </c>
      <c r="E147" s="21" t="s">
        <v>3102</v>
      </c>
      <c r="F147" s="21" t="s">
        <v>3103</v>
      </c>
      <c r="G147" s="21"/>
    </row>
    <row r="148" ht="15.75" customHeight="1">
      <c r="A148" s="20" t="s">
        <v>3104</v>
      </c>
      <c r="B148" s="21"/>
      <c r="C148" s="21"/>
      <c r="D148" s="21" t="s">
        <v>7</v>
      </c>
      <c r="E148" s="21" t="s">
        <v>3105</v>
      </c>
      <c r="F148" s="21" t="s">
        <v>3106</v>
      </c>
      <c r="G148" s="21"/>
    </row>
    <row r="149" ht="15.75" customHeight="1">
      <c r="A149" s="20" t="s">
        <v>3107</v>
      </c>
      <c r="B149" s="21"/>
      <c r="C149" s="21"/>
      <c r="D149" s="21" t="s">
        <v>7</v>
      </c>
      <c r="E149" s="21" t="s">
        <v>3108</v>
      </c>
      <c r="F149" s="21" t="s">
        <v>3109</v>
      </c>
      <c r="G149" s="21"/>
    </row>
    <row r="150" ht="15.75" customHeight="1">
      <c r="A150" s="20" t="s">
        <v>3110</v>
      </c>
      <c r="B150" s="21"/>
      <c r="C150" s="21"/>
      <c r="D150" s="21" t="s">
        <v>7</v>
      </c>
      <c r="E150" s="21" t="s">
        <v>3111</v>
      </c>
      <c r="F150" s="21"/>
      <c r="G150" s="21"/>
    </row>
    <row r="151" ht="15.75" customHeight="1">
      <c r="A151" s="20" t="s">
        <v>2823</v>
      </c>
      <c r="B151" s="21"/>
      <c r="C151" s="21"/>
      <c r="D151" s="21" t="s">
        <v>7</v>
      </c>
      <c r="E151" s="21" t="s">
        <v>3112</v>
      </c>
      <c r="F151" s="21" t="s">
        <v>3113</v>
      </c>
      <c r="G151" s="21"/>
    </row>
    <row r="152" ht="15.75" customHeight="1">
      <c r="A152" s="20" t="s">
        <v>3114</v>
      </c>
      <c r="B152" s="21"/>
      <c r="C152" s="21"/>
      <c r="D152" s="21" t="s">
        <v>7</v>
      </c>
      <c r="E152" s="21" t="s">
        <v>3115</v>
      </c>
      <c r="F152" s="21" t="s">
        <v>3116</v>
      </c>
      <c r="G152" s="21"/>
    </row>
    <row r="153" ht="15.75" customHeight="1">
      <c r="A153" s="20" t="s">
        <v>3117</v>
      </c>
      <c r="B153" s="21"/>
      <c r="C153" s="21"/>
      <c r="D153" s="21" t="s">
        <v>7</v>
      </c>
      <c r="E153" s="21" t="s">
        <v>3118</v>
      </c>
      <c r="F153" s="21" t="s">
        <v>3119</v>
      </c>
      <c r="G153" s="21"/>
    </row>
    <row r="154" ht="15.75" customHeight="1">
      <c r="A154" s="20" t="s">
        <v>3120</v>
      </c>
      <c r="B154" s="21"/>
      <c r="C154" s="21"/>
      <c r="D154" s="21" t="s">
        <v>7</v>
      </c>
      <c r="E154" s="21" t="s">
        <v>3121</v>
      </c>
      <c r="F154" s="21" t="s">
        <v>3122</v>
      </c>
      <c r="G154" s="21"/>
    </row>
    <row r="155" ht="15.75" customHeight="1">
      <c r="A155" s="20" t="s">
        <v>3123</v>
      </c>
      <c r="B155" s="21"/>
      <c r="C155" s="21"/>
      <c r="D155" s="21" t="s">
        <v>7</v>
      </c>
      <c r="E155" s="21" t="s">
        <v>3124</v>
      </c>
      <c r="F155" s="21" t="s">
        <v>3125</v>
      </c>
      <c r="G155" s="21"/>
    </row>
    <row r="156" ht="15.75" customHeight="1">
      <c r="A156" s="20" t="s">
        <v>3126</v>
      </c>
      <c r="B156" s="21"/>
      <c r="C156" s="21"/>
      <c r="D156" s="21" t="s">
        <v>7</v>
      </c>
      <c r="E156" s="21" t="s">
        <v>3127</v>
      </c>
      <c r="F156" s="21" t="s">
        <v>3128</v>
      </c>
      <c r="G156" s="21"/>
    </row>
    <row r="157" ht="15.75" customHeight="1">
      <c r="A157" s="20" t="s">
        <v>3129</v>
      </c>
      <c r="B157" s="21"/>
      <c r="C157" s="21"/>
      <c r="D157" s="21" t="s">
        <v>7</v>
      </c>
      <c r="E157" s="21" t="s">
        <v>3130</v>
      </c>
      <c r="F157" s="21" t="s">
        <v>3131</v>
      </c>
      <c r="G157" s="21"/>
    </row>
    <row r="158" ht="15.75" customHeight="1">
      <c r="A158" s="20" t="s">
        <v>3132</v>
      </c>
      <c r="B158" s="21"/>
      <c r="C158" s="21"/>
      <c r="D158" s="21" t="s">
        <v>7</v>
      </c>
      <c r="E158" s="21" t="s">
        <v>3133</v>
      </c>
      <c r="F158" s="21" t="s">
        <v>3134</v>
      </c>
      <c r="G158" s="21"/>
    </row>
    <row r="159" ht="15.75" customHeight="1">
      <c r="A159" s="20" t="s">
        <v>3135</v>
      </c>
      <c r="B159" s="21"/>
      <c r="C159" s="21"/>
      <c r="D159" s="21" t="s">
        <v>7</v>
      </c>
      <c r="E159" s="21" t="s">
        <v>3136</v>
      </c>
      <c r="F159" s="21" t="s">
        <v>3137</v>
      </c>
      <c r="G159" s="21"/>
    </row>
    <row r="160" ht="15.75" customHeight="1">
      <c r="A160" s="20" t="s">
        <v>3138</v>
      </c>
      <c r="B160" s="21"/>
      <c r="C160" s="21"/>
      <c r="D160" s="21" t="s">
        <v>7</v>
      </c>
      <c r="E160" s="21" t="s">
        <v>3139</v>
      </c>
      <c r="F160" s="21" t="s">
        <v>3140</v>
      </c>
      <c r="G160" s="21"/>
    </row>
    <row r="161" ht="15.75" customHeight="1">
      <c r="A161" s="20" t="s">
        <v>2883</v>
      </c>
      <c r="B161" s="21"/>
      <c r="C161" s="21"/>
      <c r="D161" s="21" t="s">
        <v>7</v>
      </c>
      <c r="E161" s="21" t="s">
        <v>3141</v>
      </c>
      <c r="F161" s="21" t="s">
        <v>3142</v>
      </c>
      <c r="G161" s="21"/>
    </row>
    <row r="162" ht="15.75" customHeight="1">
      <c r="A162" s="20" t="s">
        <v>3143</v>
      </c>
      <c r="B162" s="21"/>
      <c r="C162" s="21"/>
      <c r="D162" s="21" t="s">
        <v>7</v>
      </c>
      <c r="E162" s="21" t="s">
        <v>3144</v>
      </c>
      <c r="F162" s="21" t="s">
        <v>3145</v>
      </c>
      <c r="G162" s="21"/>
    </row>
    <row r="163" ht="15.75" customHeight="1">
      <c r="A163" s="20" t="s">
        <v>3146</v>
      </c>
      <c r="B163" s="21"/>
      <c r="C163" s="21"/>
      <c r="D163" s="21" t="s">
        <v>7</v>
      </c>
      <c r="E163" s="21" t="s">
        <v>3147</v>
      </c>
      <c r="F163" s="21" t="s">
        <v>3148</v>
      </c>
      <c r="G163" s="21"/>
    </row>
    <row r="164" ht="15.75" customHeight="1">
      <c r="A164" s="20" t="s">
        <v>3149</v>
      </c>
      <c r="B164" s="21"/>
      <c r="C164" s="21"/>
      <c r="D164" s="21" t="s">
        <v>7</v>
      </c>
      <c r="E164" s="21" t="s">
        <v>3150</v>
      </c>
      <c r="F164" s="21" t="s">
        <v>3151</v>
      </c>
      <c r="G164" s="21"/>
    </row>
    <row r="165" ht="15.75" customHeight="1">
      <c r="A165" s="20" t="s">
        <v>3152</v>
      </c>
      <c r="B165" s="21"/>
      <c r="C165" s="21"/>
      <c r="D165" s="21" t="s">
        <v>7</v>
      </c>
      <c r="E165" s="21" t="s">
        <v>3153</v>
      </c>
      <c r="F165" s="21" t="s">
        <v>3154</v>
      </c>
      <c r="G165" s="21"/>
    </row>
    <row r="166" ht="15.75" customHeight="1">
      <c r="A166" s="20" t="s">
        <v>3155</v>
      </c>
      <c r="B166" s="21"/>
      <c r="C166" s="21"/>
      <c r="D166" s="21" t="s">
        <v>7</v>
      </c>
      <c r="E166" s="21" t="s">
        <v>3156</v>
      </c>
      <c r="F166" s="21" t="s">
        <v>3157</v>
      </c>
      <c r="G166" s="21"/>
    </row>
    <row r="167" ht="15.75" customHeight="1">
      <c r="A167" s="20" t="s">
        <v>3158</v>
      </c>
      <c r="B167" s="21"/>
      <c r="C167" s="21"/>
      <c r="D167" s="21" t="s">
        <v>7</v>
      </c>
      <c r="E167" s="21" t="s">
        <v>3159</v>
      </c>
      <c r="F167" s="21" t="s">
        <v>3160</v>
      </c>
      <c r="G167" s="21"/>
    </row>
    <row r="168" ht="15.75" customHeight="1">
      <c r="A168" s="20" t="s">
        <v>3161</v>
      </c>
      <c r="B168" s="21"/>
      <c r="C168" s="21"/>
      <c r="D168" s="21" t="s">
        <v>7</v>
      </c>
      <c r="E168" s="21" t="s">
        <v>3162</v>
      </c>
      <c r="F168" s="21" t="s">
        <v>3163</v>
      </c>
      <c r="G168" s="21"/>
    </row>
    <row r="169" ht="15.75" customHeight="1">
      <c r="A169" s="20" t="s">
        <v>3164</v>
      </c>
      <c r="B169" s="21"/>
      <c r="C169" s="21"/>
      <c r="D169" s="21" t="s">
        <v>7</v>
      </c>
      <c r="E169" s="21" t="s">
        <v>3165</v>
      </c>
      <c r="F169" s="21" t="s">
        <v>3166</v>
      </c>
      <c r="G169" s="21"/>
    </row>
    <row r="170" ht="15.75" customHeight="1">
      <c r="A170" s="20" t="s">
        <v>3167</v>
      </c>
      <c r="B170" s="21"/>
      <c r="C170" s="21"/>
      <c r="D170" s="21" t="s">
        <v>7</v>
      </c>
      <c r="E170" s="21" t="s">
        <v>3169</v>
      </c>
      <c r="F170" s="21" t="s">
        <v>3170</v>
      </c>
      <c r="G170" s="21"/>
    </row>
    <row r="171" ht="15.75" customHeight="1">
      <c r="A171" s="20" t="s">
        <v>3172</v>
      </c>
      <c r="B171" s="21"/>
      <c r="C171" s="21"/>
      <c r="D171" s="21" t="s">
        <v>7</v>
      </c>
      <c r="E171" s="21" t="s">
        <v>3173</v>
      </c>
      <c r="F171" s="21" t="s">
        <v>3175</v>
      </c>
      <c r="G171" s="21"/>
    </row>
    <row r="172" ht="15.75" customHeight="1">
      <c r="A172" s="20" t="s">
        <v>3176</v>
      </c>
      <c r="B172" s="21"/>
      <c r="C172" s="21"/>
      <c r="D172" s="21" t="s">
        <v>7</v>
      </c>
      <c r="E172" s="21" t="s">
        <v>3178</v>
      </c>
      <c r="F172" s="21" t="s">
        <v>3179</v>
      </c>
      <c r="G172" s="21"/>
    </row>
    <row r="173" ht="15.75" customHeight="1">
      <c r="A173" s="20" t="s">
        <v>3180</v>
      </c>
      <c r="B173" s="21"/>
      <c r="C173" s="21"/>
      <c r="D173" s="21" t="s">
        <v>7</v>
      </c>
      <c r="E173" s="21" t="s">
        <v>3182</v>
      </c>
      <c r="F173" s="21" t="s">
        <v>3183</v>
      </c>
      <c r="G173" s="21"/>
    </row>
    <row r="174" ht="15.75" customHeight="1">
      <c r="A174" s="20" t="s">
        <v>3184</v>
      </c>
      <c r="B174" s="21"/>
      <c r="C174" s="21"/>
      <c r="D174" s="21" t="s">
        <v>7</v>
      </c>
      <c r="E174" s="21" t="s">
        <v>3185</v>
      </c>
      <c r="F174" s="21" t="s">
        <v>3186</v>
      </c>
      <c r="G174" s="21"/>
    </row>
    <row r="175" ht="15.75" customHeight="1">
      <c r="A175" s="20" t="s">
        <v>3187</v>
      </c>
      <c r="B175" s="21"/>
      <c r="C175" s="21"/>
      <c r="D175" s="21" t="s">
        <v>7</v>
      </c>
      <c r="E175" s="21" t="s">
        <v>3188</v>
      </c>
      <c r="F175" s="21" t="s">
        <v>3189</v>
      </c>
      <c r="G175" s="21"/>
    </row>
    <row r="176" ht="15.75" customHeight="1">
      <c r="A176" s="20" t="s">
        <v>3190</v>
      </c>
      <c r="B176" s="21"/>
      <c r="C176" s="21"/>
      <c r="D176" s="21" t="s">
        <v>7</v>
      </c>
      <c r="E176" s="21" t="s">
        <v>3191</v>
      </c>
      <c r="F176" s="21" t="s">
        <v>3192</v>
      </c>
      <c r="G176" s="21"/>
    </row>
    <row r="177" ht="15.75" customHeight="1">
      <c r="A177" s="20" t="s">
        <v>3193</v>
      </c>
      <c r="B177" s="21"/>
      <c r="C177" s="21"/>
      <c r="D177" s="21" t="s">
        <v>7</v>
      </c>
      <c r="E177" s="21" t="s">
        <v>3194</v>
      </c>
      <c r="F177" s="21" t="s">
        <v>3195</v>
      </c>
      <c r="G177" s="21"/>
    </row>
    <row r="178" ht="15.75" customHeight="1">
      <c r="A178" s="20" t="s">
        <v>2811</v>
      </c>
      <c r="B178" s="21"/>
      <c r="C178" s="21"/>
      <c r="D178" s="21" t="s">
        <v>7</v>
      </c>
      <c r="E178" s="21" t="s">
        <v>3196</v>
      </c>
      <c r="F178" s="21" t="s">
        <v>3197</v>
      </c>
      <c r="G178" s="21"/>
    </row>
    <row r="179" ht="15.75" customHeight="1">
      <c r="A179" s="20" t="s">
        <v>3198</v>
      </c>
      <c r="B179" s="21"/>
      <c r="C179" s="21"/>
      <c r="D179" s="21" t="s">
        <v>7</v>
      </c>
      <c r="E179" s="21" t="s">
        <v>3199</v>
      </c>
      <c r="F179" s="21" t="s">
        <v>3200</v>
      </c>
      <c r="G179" s="21"/>
    </row>
    <row r="180" ht="15.75" customHeight="1">
      <c r="A180" s="20" t="s">
        <v>3201</v>
      </c>
      <c r="B180" s="21"/>
      <c r="C180" s="21"/>
      <c r="D180" s="21" t="s">
        <v>7</v>
      </c>
      <c r="E180" s="21" t="s">
        <v>3203</v>
      </c>
      <c r="F180" s="21" t="s">
        <v>3205</v>
      </c>
      <c r="G180" s="21"/>
    </row>
    <row r="181" ht="15.75" customHeight="1">
      <c r="A181" s="20" t="s">
        <v>3206</v>
      </c>
      <c r="B181" s="21"/>
      <c r="C181" s="21"/>
      <c r="D181" s="21" t="s">
        <v>7</v>
      </c>
      <c r="E181" s="21" t="s">
        <v>3208</v>
      </c>
      <c r="F181" s="21" t="s">
        <v>3209</v>
      </c>
      <c r="G181" s="21"/>
    </row>
    <row r="182" ht="15.75" customHeight="1">
      <c r="A182" s="20" t="s">
        <v>3210</v>
      </c>
      <c r="B182" s="21"/>
      <c r="C182" s="21"/>
      <c r="D182" s="21" t="s">
        <v>7</v>
      </c>
      <c r="E182" s="21" t="s">
        <v>3213</v>
      </c>
      <c r="F182" s="21" t="s">
        <v>3214</v>
      </c>
      <c r="G182" s="21"/>
    </row>
    <row r="183" ht="15.75" customHeight="1">
      <c r="A183" s="20" t="s">
        <v>3216</v>
      </c>
      <c r="B183" s="21"/>
      <c r="C183" s="21"/>
      <c r="D183" s="21" t="s">
        <v>7</v>
      </c>
      <c r="E183" s="21" t="s">
        <v>3217</v>
      </c>
      <c r="F183" s="21" t="s">
        <v>3218</v>
      </c>
      <c r="G183" s="21"/>
    </row>
    <row r="184" ht="15.75" customHeight="1">
      <c r="A184" s="20" t="s">
        <v>3219</v>
      </c>
      <c r="B184" s="21"/>
      <c r="C184" s="21"/>
      <c r="D184" s="21" t="s">
        <v>7</v>
      </c>
      <c r="E184" s="21" t="s">
        <v>3220</v>
      </c>
      <c r="F184" s="21" t="s">
        <v>3221</v>
      </c>
      <c r="G184" s="21"/>
    </row>
    <row r="185" ht="15.75" customHeight="1">
      <c r="A185" s="20" t="s">
        <v>3222</v>
      </c>
      <c r="B185" s="21"/>
      <c r="C185" s="21"/>
      <c r="D185" s="21" t="s">
        <v>7</v>
      </c>
      <c r="E185" s="21" t="s">
        <v>3223</v>
      </c>
      <c r="F185" s="21" t="s">
        <v>3224</v>
      </c>
      <c r="G185" s="21"/>
    </row>
    <row r="186" ht="15.75" customHeight="1">
      <c r="A186" s="20" t="s">
        <v>3225</v>
      </c>
      <c r="B186" s="21"/>
      <c r="C186" s="21"/>
      <c r="D186" s="21" t="s">
        <v>7</v>
      </c>
      <c r="E186" s="21" t="s">
        <v>3226</v>
      </c>
      <c r="F186" s="21" t="s">
        <v>3227</v>
      </c>
      <c r="G186" s="21"/>
    </row>
    <row r="187" ht="15.75" customHeight="1">
      <c r="A187" s="20" t="s">
        <v>3229</v>
      </c>
      <c r="B187" s="21"/>
      <c r="C187" s="21"/>
      <c r="D187" s="21" t="s">
        <v>7</v>
      </c>
      <c r="E187" s="21" t="s">
        <v>3231</v>
      </c>
      <c r="F187" s="21" t="s">
        <v>3232</v>
      </c>
      <c r="G187" s="21"/>
    </row>
    <row r="188" ht="15.75" customHeight="1">
      <c r="A188" s="20" t="s">
        <v>3235</v>
      </c>
      <c r="B188" s="21"/>
      <c r="C188" s="21"/>
      <c r="D188" s="21" t="s">
        <v>7</v>
      </c>
      <c r="E188" s="21" t="s">
        <v>3236</v>
      </c>
      <c r="F188" s="21" t="s">
        <v>3238</v>
      </c>
      <c r="G188" s="21"/>
    </row>
    <row r="189" ht="15.75" customHeight="1">
      <c r="A189" s="20" t="s">
        <v>3240</v>
      </c>
      <c r="B189" s="21"/>
      <c r="C189" s="21"/>
      <c r="D189" s="21" t="s">
        <v>7</v>
      </c>
      <c r="E189" s="21" t="s">
        <v>3242</v>
      </c>
      <c r="F189" s="21" t="s">
        <v>3243</v>
      </c>
      <c r="G189" s="21"/>
    </row>
    <row r="190" ht="15.75" customHeight="1">
      <c r="A190" s="20" t="s">
        <v>3244</v>
      </c>
      <c r="B190" s="21"/>
      <c r="C190" s="21"/>
      <c r="D190" s="21" t="s">
        <v>7</v>
      </c>
      <c r="E190" s="21" t="s">
        <v>3245</v>
      </c>
      <c r="F190" s="21" t="s">
        <v>3246</v>
      </c>
      <c r="G190" s="21"/>
    </row>
    <row r="191" ht="15.75" customHeight="1">
      <c r="A191" s="20" t="s">
        <v>3247</v>
      </c>
      <c r="B191" s="21"/>
      <c r="C191" s="21"/>
      <c r="D191" s="21" t="s">
        <v>7</v>
      </c>
      <c r="E191" s="21" t="s">
        <v>3248</v>
      </c>
      <c r="F191" s="21" t="s">
        <v>3249</v>
      </c>
      <c r="G191" s="21"/>
    </row>
    <row r="192" ht="15.75" customHeight="1">
      <c r="A192" s="20" t="s">
        <v>3250</v>
      </c>
      <c r="B192" s="21"/>
      <c r="C192" s="21"/>
      <c r="D192" s="21" t="s">
        <v>7</v>
      </c>
      <c r="E192" s="21" t="s">
        <v>3251</v>
      </c>
      <c r="F192" s="21" t="s">
        <v>3252</v>
      </c>
      <c r="G192" s="21"/>
    </row>
    <row r="193" ht="15.75" customHeight="1">
      <c r="A193" s="20" t="s">
        <v>3253</v>
      </c>
      <c r="B193" s="21"/>
      <c r="C193" s="21"/>
      <c r="D193" s="21" t="s">
        <v>7</v>
      </c>
      <c r="E193" s="21" t="s">
        <v>3254</v>
      </c>
      <c r="F193" s="21" t="s">
        <v>3255</v>
      </c>
      <c r="G193" s="21"/>
    </row>
    <row r="194" ht="15.75" customHeight="1">
      <c r="A194" s="20" t="s">
        <v>3257</v>
      </c>
      <c r="B194" s="21"/>
      <c r="C194" s="21"/>
      <c r="D194" s="21" t="s">
        <v>7</v>
      </c>
      <c r="E194" s="21" t="s">
        <v>3259</v>
      </c>
      <c r="F194" s="21" t="s">
        <v>3260</v>
      </c>
      <c r="G194" s="21"/>
    </row>
    <row r="195" ht="15.75" customHeight="1">
      <c r="A195" s="20" t="s">
        <v>3262</v>
      </c>
      <c r="B195" s="21"/>
      <c r="C195" s="21"/>
      <c r="D195" s="21" t="s">
        <v>7</v>
      </c>
      <c r="E195" s="21" t="s">
        <v>3263</v>
      </c>
      <c r="F195" s="21" t="s">
        <v>3264</v>
      </c>
      <c r="G195" s="21"/>
    </row>
    <row r="196" ht="15.75" customHeight="1">
      <c r="A196" s="20" t="s">
        <v>3267</v>
      </c>
      <c r="B196" s="21"/>
      <c r="C196" s="21"/>
      <c r="D196" s="21" t="s">
        <v>7</v>
      </c>
      <c r="E196" s="21" t="s">
        <v>3269</v>
      </c>
      <c r="F196" s="21" t="s">
        <v>3270</v>
      </c>
      <c r="G196" s="21"/>
    </row>
    <row r="197" ht="15.75" customHeight="1">
      <c r="A197" s="20" t="s">
        <v>3271</v>
      </c>
      <c r="B197" s="21"/>
      <c r="C197" s="21"/>
      <c r="D197" s="21" t="s">
        <v>7</v>
      </c>
      <c r="E197" s="21" t="s">
        <v>3272</v>
      </c>
      <c r="F197" s="21" t="s">
        <v>3273</v>
      </c>
      <c r="G197" s="21"/>
    </row>
    <row r="198" ht="15.75" customHeight="1">
      <c r="A198" s="20" t="s">
        <v>3274</v>
      </c>
      <c r="B198" s="21"/>
      <c r="C198" s="21"/>
      <c r="D198" s="21" t="s">
        <v>7</v>
      </c>
      <c r="E198" s="21" t="s">
        <v>3275</v>
      </c>
      <c r="F198" s="21" t="s">
        <v>3276</v>
      </c>
      <c r="G198" s="21"/>
    </row>
    <row r="199" ht="15.75" customHeight="1">
      <c r="A199" s="20" t="s">
        <v>3277</v>
      </c>
      <c r="B199" s="21"/>
      <c r="C199" s="21"/>
      <c r="D199" s="21" t="s">
        <v>7</v>
      </c>
      <c r="E199" s="21" t="s">
        <v>3278</v>
      </c>
      <c r="F199" s="21" t="s">
        <v>3279</v>
      </c>
      <c r="G199" s="21"/>
    </row>
    <row r="200" ht="15.75" customHeight="1">
      <c r="A200" s="20" t="s">
        <v>3280</v>
      </c>
      <c r="B200" s="21"/>
      <c r="C200" s="21"/>
      <c r="D200" s="21" t="s">
        <v>7</v>
      </c>
      <c r="E200" s="21" t="s">
        <v>3283</v>
      </c>
      <c r="F200" s="21" t="s">
        <v>3284</v>
      </c>
      <c r="G200" s="21"/>
    </row>
    <row r="201" ht="15.75" customHeight="1">
      <c r="A201" s="20" t="s">
        <v>3286</v>
      </c>
      <c r="B201" s="21"/>
      <c r="C201" s="21"/>
      <c r="D201" s="21" t="s">
        <v>7</v>
      </c>
      <c r="E201" s="21" t="s">
        <v>3287</v>
      </c>
      <c r="F201" s="21" t="s">
        <v>3288</v>
      </c>
      <c r="G201" s="21"/>
    </row>
    <row r="202" ht="15.75" customHeight="1">
      <c r="A202" s="20" t="s">
        <v>3290</v>
      </c>
      <c r="B202" s="21"/>
      <c r="C202" s="21"/>
      <c r="D202" s="21" t="s">
        <v>7</v>
      </c>
      <c r="E202" s="21" t="s">
        <v>3291</v>
      </c>
      <c r="F202" s="21" t="s">
        <v>3292</v>
      </c>
      <c r="G202" s="21"/>
    </row>
    <row r="203" ht="15.75" customHeight="1">
      <c r="A203" s="20" t="s">
        <v>3295</v>
      </c>
      <c r="B203" s="21"/>
      <c r="C203" s="21"/>
      <c r="D203" s="21" t="s">
        <v>7</v>
      </c>
      <c r="E203" s="21" t="s">
        <v>3296</v>
      </c>
      <c r="F203" s="21" t="s">
        <v>3297</v>
      </c>
      <c r="G203" s="21"/>
    </row>
    <row r="204" ht="15.75" customHeight="1">
      <c r="A204" s="20" t="s">
        <v>3298</v>
      </c>
      <c r="B204" s="21"/>
      <c r="C204" s="21"/>
      <c r="D204" s="21" t="s">
        <v>7</v>
      </c>
      <c r="E204" s="21" t="s">
        <v>3299</v>
      </c>
      <c r="F204" s="21" t="s">
        <v>3300</v>
      </c>
      <c r="G204" s="21"/>
    </row>
    <row r="205" ht="15.75" customHeight="1">
      <c r="A205" s="20" t="s">
        <v>3301</v>
      </c>
      <c r="B205" s="21"/>
      <c r="C205" s="21"/>
      <c r="D205" s="21" t="s">
        <v>7</v>
      </c>
      <c r="E205" s="21" t="s">
        <v>3302</v>
      </c>
      <c r="F205" s="21" t="s">
        <v>3303</v>
      </c>
      <c r="G205" s="21"/>
    </row>
    <row r="206" ht="15.75" customHeight="1">
      <c r="A206" s="20" t="s">
        <v>3304</v>
      </c>
      <c r="B206" s="21"/>
      <c r="C206" s="21"/>
      <c r="D206" s="21" t="s">
        <v>7</v>
      </c>
      <c r="E206" s="21" t="s">
        <v>3305</v>
      </c>
      <c r="F206" s="21"/>
      <c r="G206" s="21"/>
    </row>
    <row r="207" ht="15.75" customHeight="1">
      <c r="A207" s="20" t="s">
        <v>3306</v>
      </c>
      <c r="B207" s="21"/>
      <c r="C207" s="21"/>
      <c r="D207" s="21" t="s">
        <v>7</v>
      </c>
      <c r="E207" s="21" t="s">
        <v>3307</v>
      </c>
      <c r="F207" s="21" t="s">
        <v>3308</v>
      </c>
      <c r="G207" s="21"/>
    </row>
    <row r="208" ht="15.75" customHeight="1">
      <c r="A208" s="20" t="s">
        <v>3311</v>
      </c>
      <c r="B208" s="21"/>
      <c r="C208" s="21"/>
      <c r="D208" s="21" t="s">
        <v>7</v>
      </c>
      <c r="E208" s="21" t="s">
        <v>3312</v>
      </c>
      <c r="F208" s="21" t="s">
        <v>3314</v>
      </c>
      <c r="G208" s="21"/>
    </row>
    <row r="209" ht="15.75" customHeight="1">
      <c r="A209" s="20" t="s">
        <v>3315</v>
      </c>
      <c r="B209" s="21"/>
      <c r="C209" s="21"/>
      <c r="D209" s="21" t="s">
        <v>7</v>
      </c>
      <c r="E209" s="21" t="s">
        <v>3318</v>
      </c>
      <c r="F209" s="21" t="s">
        <v>3319</v>
      </c>
      <c r="G209" s="21"/>
    </row>
    <row r="210" ht="15.75" customHeight="1">
      <c r="A210" s="20" t="s">
        <v>3321</v>
      </c>
      <c r="B210" s="21"/>
      <c r="C210" s="21"/>
      <c r="D210" s="21" t="s">
        <v>7</v>
      </c>
      <c r="E210" s="21" t="s">
        <v>3322</v>
      </c>
      <c r="F210" s="21" t="s">
        <v>3323</v>
      </c>
      <c r="G210" s="21"/>
    </row>
    <row r="211" ht="15.75" customHeight="1">
      <c r="A211" s="20" t="s">
        <v>3324</v>
      </c>
      <c r="B211" s="21"/>
      <c r="C211" s="21"/>
      <c r="D211" s="21" t="s">
        <v>7</v>
      </c>
      <c r="E211" s="21" t="s">
        <v>3325</v>
      </c>
      <c r="F211" s="21" t="s">
        <v>3326</v>
      </c>
      <c r="G211" s="21"/>
    </row>
    <row r="212" ht="15.75" customHeight="1">
      <c r="A212" s="20" t="s">
        <v>3327</v>
      </c>
      <c r="B212" s="21"/>
      <c r="C212" s="21"/>
      <c r="D212" s="21" t="s">
        <v>7</v>
      </c>
      <c r="E212" s="21" t="s">
        <v>3328</v>
      </c>
      <c r="F212" s="21" t="s">
        <v>3329</v>
      </c>
      <c r="G212" s="21"/>
    </row>
    <row r="213" ht="15.75" customHeight="1">
      <c r="A213" s="20" t="s">
        <v>3330</v>
      </c>
      <c r="B213" s="21"/>
      <c r="C213" s="21"/>
      <c r="D213" s="21" t="s">
        <v>7</v>
      </c>
      <c r="E213" s="21" t="s">
        <v>3331</v>
      </c>
      <c r="F213" s="21" t="s">
        <v>3332</v>
      </c>
      <c r="G213" s="21"/>
    </row>
    <row r="214" ht="15.75" customHeight="1">
      <c r="A214" s="20" t="s">
        <v>3336</v>
      </c>
      <c r="B214" s="21" t="s">
        <v>3337</v>
      </c>
      <c r="C214" s="21" t="s">
        <v>3338</v>
      </c>
      <c r="D214" s="21" t="s">
        <v>7</v>
      </c>
      <c r="E214" s="21" t="s">
        <v>3340</v>
      </c>
      <c r="F214" s="21" t="s">
        <v>3342</v>
      </c>
      <c r="G214" s="21"/>
    </row>
    <row r="215" ht="15.75" customHeight="1">
      <c r="A215" s="20" t="s">
        <v>3344</v>
      </c>
      <c r="B215" s="21" t="s">
        <v>49</v>
      </c>
      <c r="C215" s="21" t="s">
        <v>51</v>
      </c>
      <c r="D215" s="21" t="s">
        <v>7</v>
      </c>
      <c r="E215" s="21" t="s">
        <v>3345</v>
      </c>
      <c r="F215" s="21"/>
      <c r="G215" s="21"/>
    </row>
    <row r="216" ht="15.75" customHeight="1">
      <c r="A216" s="20" t="s">
        <v>3346</v>
      </c>
      <c r="B216" s="21" t="s">
        <v>49</v>
      </c>
      <c r="C216" s="21" t="s">
        <v>51</v>
      </c>
      <c r="D216" s="21" t="s">
        <v>7</v>
      </c>
      <c r="E216" s="21" t="s">
        <v>3347</v>
      </c>
      <c r="F216" s="21" t="s">
        <v>3348</v>
      </c>
      <c r="G216" s="21"/>
    </row>
    <row r="217" ht="15.75" customHeight="1">
      <c r="A217" s="20" t="s">
        <v>3349</v>
      </c>
      <c r="B217" s="21" t="s">
        <v>49</v>
      </c>
      <c r="C217" s="21" t="s">
        <v>51</v>
      </c>
      <c r="D217" s="21" t="s">
        <v>7</v>
      </c>
      <c r="E217" s="21" t="s">
        <v>3350</v>
      </c>
      <c r="F217" s="21"/>
      <c r="G217" s="21"/>
    </row>
    <row r="218" ht="15.75" customHeight="1">
      <c r="A218" s="20" t="s">
        <v>3351</v>
      </c>
      <c r="B218" s="21" t="s">
        <v>49</v>
      </c>
      <c r="C218" s="21" t="s">
        <v>51</v>
      </c>
      <c r="D218" s="21" t="s">
        <v>7</v>
      </c>
      <c r="E218" s="21" t="s">
        <v>3355</v>
      </c>
      <c r="F218" s="21" t="s">
        <v>3356</v>
      </c>
      <c r="G218" s="21"/>
    </row>
    <row r="219" ht="15.75" customHeight="1">
      <c r="A219" s="20" t="s">
        <v>3358</v>
      </c>
      <c r="B219" s="21" t="s">
        <v>49</v>
      </c>
      <c r="C219" s="21" t="s">
        <v>51</v>
      </c>
      <c r="D219" s="21" t="s">
        <v>7</v>
      </c>
      <c r="E219" s="21" t="s">
        <v>3359</v>
      </c>
      <c r="F219" s="21" t="s">
        <v>3361</v>
      </c>
      <c r="G219" s="21"/>
    </row>
    <row r="220" ht="15.75" customHeight="1">
      <c r="A220" s="20" t="s">
        <v>3364</v>
      </c>
      <c r="B220" s="21" t="s">
        <v>49</v>
      </c>
      <c r="C220" s="21" t="s">
        <v>51</v>
      </c>
      <c r="D220" s="21" t="s">
        <v>7</v>
      </c>
      <c r="E220" s="21" t="s">
        <v>3365</v>
      </c>
      <c r="F220" s="21" t="s">
        <v>3366</v>
      </c>
      <c r="G220" s="21"/>
    </row>
    <row r="221" ht="15.75" customHeight="1">
      <c r="A221" s="20" t="s">
        <v>3367</v>
      </c>
      <c r="B221" s="21" t="s">
        <v>49</v>
      </c>
      <c r="C221" s="21" t="s">
        <v>51</v>
      </c>
      <c r="D221" s="21" t="s">
        <v>7</v>
      </c>
      <c r="E221" s="21" t="s">
        <v>3368</v>
      </c>
      <c r="F221" s="21" t="s">
        <v>3369</v>
      </c>
      <c r="G221" s="21"/>
    </row>
    <row r="222" ht="15.75" customHeight="1">
      <c r="A222" s="20" t="s">
        <v>3370</v>
      </c>
      <c r="B222" s="21" t="s">
        <v>49</v>
      </c>
      <c r="C222" s="21" t="s">
        <v>51</v>
      </c>
      <c r="D222" s="21" t="s">
        <v>7</v>
      </c>
      <c r="E222" s="21" t="s">
        <v>3372</v>
      </c>
      <c r="F222" s="21" t="s">
        <v>3373</v>
      </c>
      <c r="G222" s="21"/>
    </row>
    <row r="223" ht="15.75" customHeight="1">
      <c r="A223" s="20" t="s">
        <v>3376</v>
      </c>
      <c r="B223" s="21" t="s">
        <v>49</v>
      </c>
      <c r="C223" s="21" t="s">
        <v>51</v>
      </c>
      <c r="D223" s="21" t="s">
        <v>7</v>
      </c>
      <c r="E223" s="21" t="s">
        <v>3377</v>
      </c>
      <c r="F223" s="21" t="s">
        <v>3378</v>
      </c>
      <c r="G223" s="21"/>
    </row>
    <row r="224" ht="15.75" customHeight="1">
      <c r="A224" s="20" t="s">
        <v>3380</v>
      </c>
      <c r="B224" s="21" t="s">
        <v>49</v>
      </c>
      <c r="C224" s="21" t="s">
        <v>51</v>
      </c>
      <c r="D224" s="21" t="s">
        <v>7</v>
      </c>
      <c r="E224" s="21" t="s">
        <v>3384</v>
      </c>
      <c r="F224" s="21" t="s">
        <v>3386</v>
      </c>
      <c r="G224" s="21"/>
    </row>
    <row r="225" ht="15.75" customHeight="1">
      <c r="A225" s="20" t="s">
        <v>3388</v>
      </c>
      <c r="B225" s="21" t="s">
        <v>49</v>
      </c>
      <c r="C225" s="21" t="s">
        <v>51</v>
      </c>
      <c r="D225" s="21" t="s">
        <v>7</v>
      </c>
      <c r="E225" s="21" t="s">
        <v>3392</v>
      </c>
      <c r="F225" s="21"/>
      <c r="G225" s="21"/>
    </row>
    <row r="226" ht="15.75" customHeight="1">
      <c r="A226" s="20" t="s">
        <v>3395</v>
      </c>
      <c r="B226" s="21" t="s">
        <v>49</v>
      </c>
      <c r="C226" s="21" t="s">
        <v>51</v>
      </c>
      <c r="D226" s="21" t="s">
        <v>7</v>
      </c>
      <c r="E226" s="21" t="s">
        <v>3399</v>
      </c>
      <c r="F226" s="21"/>
      <c r="G226" s="21"/>
    </row>
    <row r="227" ht="15.75" customHeight="1">
      <c r="A227" s="20" t="s">
        <v>3403</v>
      </c>
      <c r="B227" s="21" t="s">
        <v>49</v>
      </c>
      <c r="C227" s="21" t="s">
        <v>51</v>
      </c>
      <c r="D227" s="21" t="s">
        <v>7</v>
      </c>
      <c r="E227" s="21" t="s">
        <v>3405</v>
      </c>
      <c r="F227" s="21" t="s">
        <v>3406</v>
      </c>
      <c r="G227" s="21"/>
    </row>
    <row r="228" ht="15.75" customHeight="1">
      <c r="A228" s="20" t="s">
        <v>3408</v>
      </c>
      <c r="B228" s="21" t="s">
        <v>3409</v>
      </c>
      <c r="C228" s="21" t="s">
        <v>2897</v>
      </c>
      <c r="D228" s="21" t="s">
        <v>7</v>
      </c>
      <c r="E228" s="21" t="s">
        <v>3410</v>
      </c>
      <c r="F228" s="21" t="s">
        <v>3411</v>
      </c>
      <c r="G228" s="21"/>
    </row>
    <row r="229" ht="15.75" customHeight="1">
      <c r="A229" s="20" t="s">
        <v>3412</v>
      </c>
      <c r="B229" s="21" t="s">
        <v>3409</v>
      </c>
      <c r="C229" s="21" t="s">
        <v>2897</v>
      </c>
      <c r="D229" s="21" t="s">
        <v>7</v>
      </c>
      <c r="E229" s="21" t="s">
        <v>3413</v>
      </c>
      <c r="F229" s="21" t="s">
        <v>3414</v>
      </c>
      <c r="G229" s="21"/>
    </row>
    <row r="230" ht="15.75" customHeight="1">
      <c r="A230" s="20" t="s">
        <v>3415</v>
      </c>
      <c r="B230" s="21" t="s">
        <v>3416</v>
      </c>
      <c r="C230" s="21" t="s">
        <v>3417</v>
      </c>
      <c r="D230" s="21" t="s">
        <v>7</v>
      </c>
      <c r="E230" s="21" t="s">
        <v>3418</v>
      </c>
      <c r="F230" s="21" t="s">
        <v>3419</v>
      </c>
      <c r="G230" s="21"/>
    </row>
    <row r="231" ht="15.75" customHeight="1">
      <c r="A231" s="20" t="s">
        <v>3420</v>
      </c>
      <c r="B231" s="21" t="s">
        <v>3416</v>
      </c>
      <c r="C231" s="21" t="s">
        <v>3417</v>
      </c>
      <c r="D231" s="21" t="s">
        <v>7</v>
      </c>
      <c r="E231" s="21" t="s">
        <v>3421</v>
      </c>
      <c r="F231" s="21"/>
      <c r="G231" s="21"/>
    </row>
    <row r="232" ht="15.75" customHeight="1">
      <c r="A232" s="20" t="s">
        <v>3422</v>
      </c>
      <c r="B232" s="21" t="s">
        <v>3416</v>
      </c>
      <c r="C232" s="21" t="s">
        <v>377</v>
      </c>
      <c r="D232" s="21" t="s">
        <v>7</v>
      </c>
      <c r="E232" s="21" t="s">
        <v>3425</v>
      </c>
      <c r="F232" s="21" t="s">
        <v>3426</v>
      </c>
      <c r="G232" s="21"/>
    </row>
    <row r="233" ht="15.75" customHeight="1">
      <c r="A233" s="20" t="s">
        <v>3430</v>
      </c>
      <c r="B233" s="21" t="s">
        <v>3416</v>
      </c>
      <c r="C233" s="21" t="s">
        <v>3417</v>
      </c>
      <c r="D233" s="21" t="s">
        <v>7</v>
      </c>
      <c r="E233" s="21" t="s">
        <v>3432</v>
      </c>
      <c r="F233" s="21" t="s">
        <v>3433</v>
      </c>
      <c r="G233" s="21"/>
    </row>
    <row r="234" ht="15.75" customHeight="1">
      <c r="A234" s="20" t="s">
        <v>3437</v>
      </c>
      <c r="B234" s="21" t="s">
        <v>3439</v>
      </c>
      <c r="C234" s="21">
        <v>44115.0</v>
      </c>
      <c r="D234" s="21" t="s">
        <v>7</v>
      </c>
      <c r="E234" s="21" t="s">
        <v>3443</v>
      </c>
      <c r="F234" s="21" t="s">
        <v>3445</v>
      </c>
      <c r="G234" s="21" t="s">
        <v>3447</v>
      </c>
      <c r="H234" s="9" t="s">
        <v>3449</v>
      </c>
    </row>
    <row r="235" ht="15.75" customHeight="1">
      <c r="A235" s="20" t="s">
        <v>3453</v>
      </c>
      <c r="B235" s="21" t="s">
        <v>3455</v>
      </c>
      <c r="C235" s="21" t="s">
        <v>3456</v>
      </c>
      <c r="D235" s="21" t="s">
        <v>7</v>
      </c>
      <c r="E235" s="21" t="s">
        <v>3459</v>
      </c>
      <c r="F235" s="21" t="s">
        <v>3460</v>
      </c>
      <c r="G235" s="21"/>
    </row>
    <row r="236" ht="15.75" customHeight="1">
      <c r="A236" s="20" t="s">
        <v>3051</v>
      </c>
      <c r="B236" s="21" t="s">
        <v>3455</v>
      </c>
      <c r="C236" s="21" t="s">
        <v>3456</v>
      </c>
      <c r="D236" s="21" t="s">
        <v>7</v>
      </c>
      <c r="E236" s="21" t="s">
        <v>3467</v>
      </c>
      <c r="F236" s="21" t="s">
        <v>3468</v>
      </c>
      <c r="G236" s="21"/>
    </row>
    <row r="237" ht="15.75" customHeight="1">
      <c r="A237" s="20" t="s">
        <v>3472</v>
      </c>
      <c r="B237" s="21" t="s">
        <v>3455</v>
      </c>
      <c r="C237" s="21" t="s">
        <v>3456</v>
      </c>
      <c r="D237" s="21" t="s">
        <v>7</v>
      </c>
      <c r="E237" s="21" t="s">
        <v>3473</v>
      </c>
      <c r="F237" s="21" t="s">
        <v>3475</v>
      </c>
      <c r="G237" s="21"/>
    </row>
    <row r="238" ht="15.75" customHeight="1">
      <c r="A238" s="20" t="s">
        <v>3477</v>
      </c>
      <c r="B238" s="21" t="s">
        <v>3455</v>
      </c>
      <c r="C238" s="21" t="s">
        <v>3456</v>
      </c>
      <c r="D238" s="21" t="s">
        <v>7</v>
      </c>
      <c r="E238" s="21" t="s">
        <v>3479</v>
      </c>
      <c r="F238" s="21" t="s">
        <v>3480</v>
      </c>
      <c r="G238" s="21"/>
    </row>
    <row r="239" ht="15.75" customHeight="1">
      <c r="A239" s="20" t="s">
        <v>3481</v>
      </c>
      <c r="B239" s="21" t="s">
        <v>3455</v>
      </c>
      <c r="C239" s="21" t="s">
        <v>3456</v>
      </c>
      <c r="D239" s="21" t="s">
        <v>7</v>
      </c>
      <c r="E239" s="21" t="s">
        <v>3483</v>
      </c>
      <c r="F239" s="21" t="s">
        <v>3484</v>
      </c>
      <c r="G239" s="21"/>
    </row>
    <row r="240" ht="15.75" customHeight="1">
      <c r="A240" s="20" t="s">
        <v>3486</v>
      </c>
      <c r="B240" s="21" t="s">
        <v>3455</v>
      </c>
      <c r="C240" s="21" t="s">
        <v>3456</v>
      </c>
      <c r="D240" s="21" t="s">
        <v>7</v>
      </c>
      <c r="E240" s="21" t="s">
        <v>3489</v>
      </c>
      <c r="F240" s="21" t="s">
        <v>3490</v>
      </c>
      <c r="G240" s="21"/>
    </row>
    <row r="241" ht="15.75" customHeight="1">
      <c r="A241" s="20" t="s">
        <v>3495</v>
      </c>
      <c r="B241" s="21" t="s">
        <v>233</v>
      </c>
      <c r="C241" s="21" t="s">
        <v>234</v>
      </c>
      <c r="D241" s="21" t="s">
        <v>7</v>
      </c>
      <c r="E241" s="21" t="s">
        <v>3498</v>
      </c>
      <c r="F241" s="21"/>
      <c r="G241" s="21"/>
    </row>
    <row r="242" ht="15.75" customHeight="1">
      <c r="A242" s="20" t="s">
        <v>3500</v>
      </c>
      <c r="B242" s="21" t="s">
        <v>233</v>
      </c>
      <c r="C242" s="21" t="s">
        <v>234</v>
      </c>
      <c r="D242" s="21" t="s">
        <v>7</v>
      </c>
      <c r="E242" s="21" t="s">
        <v>3501</v>
      </c>
      <c r="F242" s="21"/>
      <c r="G242" s="21"/>
    </row>
    <row r="243" ht="15.75" customHeight="1">
      <c r="A243" s="20" t="s">
        <v>3504</v>
      </c>
      <c r="B243" s="21" t="s">
        <v>78</v>
      </c>
      <c r="C243" s="21" t="s">
        <v>79</v>
      </c>
      <c r="D243" s="21" t="s">
        <v>7</v>
      </c>
      <c r="E243" s="21" t="s">
        <v>3508</v>
      </c>
      <c r="F243" s="21" t="s">
        <v>3510</v>
      </c>
      <c r="G243" s="21"/>
    </row>
    <row r="244" ht="15.75" customHeight="1">
      <c r="A244" s="20" t="s">
        <v>3514</v>
      </c>
      <c r="B244" s="21" t="s">
        <v>3517</v>
      </c>
      <c r="C244" s="21" t="s">
        <v>119</v>
      </c>
      <c r="D244" s="21" t="s">
        <v>7</v>
      </c>
      <c r="E244" s="21" t="s">
        <v>3520</v>
      </c>
      <c r="F244" s="21" t="s">
        <v>3523</v>
      </c>
      <c r="G244" s="21"/>
    </row>
    <row r="245" ht="15.75" customHeight="1">
      <c r="A245" s="20" t="s">
        <v>2272</v>
      </c>
      <c r="B245" s="21" t="s">
        <v>957</v>
      </c>
      <c r="C245" s="21">
        <v>44340.0</v>
      </c>
      <c r="D245" s="21" t="s">
        <v>7</v>
      </c>
      <c r="E245" s="21" t="s">
        <v>3528</v>
      </c>
      <c r="F245" s="21" t="s">
        <v>3529</v>
      </c>
      <c r="G245" s="21"/>
    </row>
    <row r="246" ht="15.75" customHeight="1">
      <c r="A246" s="20" t="s">
        <v>3532</v>
      </c>
      <c r="B246" s="21" t="s">
        <v>2597</v>
      </c>
      <c r="C246" s="21" t="s">
        <v>2599</v>
      </c>
      <c r="D246" s="21" t="s">
        <v>7</v>
      </c>
      <c r="E246" s="21" t="s">
        <v>3539</v>
      </c>
      <c r="F246" s="21" t="s">
        <v>3540</v>
      </c>
      <c r="G246" s="21"/>
    </row>
    <row r="247" ht="15.75" customHeight="1">
      <c r="A247" s="20" t="s">
        <v>3542</v>
      </c>
      <c r="B247" s="21" t="s">
        <v>262</v>
      </c>
      <c r="C247" s="21" t="s">
        <v>263</v>
      </c>
      <c r="D247" s="21" t="s">
        <v>7</v>
      </c>
      <c r="E247" s="21" t="s">
        <v>3545</v>
      </c>
      <c r="F247" s="21" t="s">
        <v>3546</v>
      </c>
      <c r="G247" s="21"/>
    </row>
    <row r="248" ht="15.75" customHeight="1">
      <c r="A248" s="20" t="s">
        <v>3548</v>
      </c>
      <c r="B248" s="21" t="s">
        <v>262</v>
      </c>
      <c r="C248" s="21" t="s">
        <v>263</v>
      </c>
      <c r="D248" s="21" t="s">
        <v>7</v>
      </c>
      <c r="E248" s="21" t="s">
        <v>3550</v>
      </c>
      <c r="F248" s="21" t="s">
        <v>3552</v>
      </c>
      <c r="G248" s="21"/>
    </row>
    <row r="249" ht="15.75" customHeight="1">
      <c r="A249" s="20" t="s">
        <v>3554</v>
      </c>
      <c r="B249" s="21" t="s">
        <v>1208</v>
      </c>
      <c r="C249" s="21" t="s">
        <v>2620</v>
      </c>
      <c r="D249" s="21" t="s">
        <v>7</v>
      </c>
      <c r="E249" s="21" t="s">
        <v>3558</v>
      </c>
      <c r="F249" s="21"/>
      <c r="G249" s="21"/>
    </row>
    <row r="250" ht="15.75" customHeight="1">
      <c r="A250" s="20" t="s">
        <v>3562</v>
      </c>
      <c r="B250" s="21" t="s">
        <v>1208</v>
      </c>
      <c r="C250" s="21" t="s">
        <v>2620</v>
      </c>
      <c r="D250" s="21" t="s">
        <v>7</v>
      </c>
      <c r="E250" s="21" t="s">
        <v>3564</v>
      </c>
      <c r="F250" s="21" t="s">
        <v>3565</v>
      </c>
      <c r="G250" s="21"/>
    </row>
    <row r="251" ht="15.75" customHeight="1">
      <c r="A251" s="20" t="s">
        <v>3568</v>
      </c>
      <c r="B251" s="21" t="s">
        <v>1208</v>
      </c>
      <c r="C251" s="21" t="s">
        <v>2620</v>
      </c>
      <c r="D251" s="21" t="s">
        <v>7</v>
      </c>
      <c r="E251" s="21" t="s">
        <v>3569</v>
      </c>
      <c r="F251" s="21"/>
      <c r="G251" s="21"/>
    </row>
    <row r="252" ht="15.75" customHeight="1">
      <c r="A252" s="20" t="s">
        <v>3571</v>
      </c>
      <c r="B252" s="21" t="s">
        <v>100</v>
      </c>
      <c r="C252" s="21" t="s">
        <v>102</v>
      </c>
      <c r="D252" s="21" t="s">
        <v>7</v>
      </c>
      <c r="E252" s="21" t="s">
        <v>3574</v>
      </c>
      <c r="F252" s="21"/>
      <c r="G252" s="21"/>
    </row>
    <row r="253" ht="15.75" customHeight="1">
      <c r="A253" s="20" t="s">
        <v>3584</v>
      </c>
      <c r="B253" s="21" t="s">
        <v>100</v>
      </c>
      <c r="C253" s="21" t="s">
        <v>102</v>
      </c>
      <c r="D253" s="21" t="s">
        <v>7</v>
      </c>
      <c r="E253" s="21" t="s">
        <v>3588</v>
      </c>
      <c r="F253" s="21" t="s">
        <v>3591</v>
      </c>
      <c r="G253" s="21"/>
    </row>
    <row r="254" ht="15.75" customHeight="1">
      <c r="A254" s="20" t="s">
        <v>3592</v>
      </c>
      <c r="B254" s="21" t="s">
        <v>100</v>
      </c>
      <c r="C254" s="21" t="s">
        <v>102</v>
      </c>
      <c r="D254" s="21" t="s">
        <v>7</v>
      </c>
      <c r="E254" s="21" t="s">
        <v>3595</v>
      </c>
      <c r="F254" s="21" t="s">
        <v>3597</v>
      </c>
      <c r="G254" s="21"/>
    </row>
    <row r="255" ht="15.75" customHeight="1">
      <c r="A255" s="20" t="s">
        <v>3599</v>
      </c>
      <c r="B255" s="21" t="s">
        <v>100</v>
      </c>
      <c r="C255" s="21" t="s">
        <v>102</v>
      </c>
      <c r="D255" s="21" t="s">
        <v>7</v>
      </c>
      <c r="E255" s="21" t="s">
        <v>3600</v>
      </c>
      <c r="F255" s="21" t="s">
        <v>3603</v>
      </c>
      <c r="G255" s="21"/>
    </row>
    <row r="256" ht="15.75" customHeight="1">
      <c r="A256" s="20" t="s">
        <v>3606</v>
      </c>
      <c r="B256" s="21" t="s">
        <v>100</v>
      </c>
      <c r="C256" s="21" t="s">
        <v>102</v>
      </c>
      <c r="D256" s="21" t="s">
        <v>7</v>
      </c>
      <c r="E256" s="21" t="s">
        <v>3608</v>
      </c>
      <c r="F256" s="21" t="s">
        <v>3610</v>
      </c>
      <c r="G256" s="21"/>
    </row>
    <row r="257" ht="15.75" customHeight="1">
      <c r="A257" s="20" t="s">
        <v>3613</v>
      </c>
      <c r="B257" s="21" t="s">
        <v>100</v>
      </c>
      <c r="C257" s="21" t="s">
        <v>102</v>
      </c>
      <c r="D257" s="21" t="s">
        <v>7</v>
      </c>
      <c r="E257" s="21" t="s">
        <v>3617</v>
      </c>
      <c r="F257" s="21" t="s">
        <v>3619</v>
      </c>
      <c r="G257" s="21"/>
    </row>
    <row r="258" ht="15.75" customHeight="1">
      <c r="A258" s="20" t="s">
        <v>3622</v>
      </c>
      <c r="B258" s="21" t="s">
        <v>3625</v>
      </c>
      <c r="C258" s="21" t="s">
        <v>3627</v>
      </c>
      <c r="D258" s="21" t="s">
        <v>7</v>
      </c>
      <c r="E258" s="21" t="s">
        <v>3629</v>
      </c>
      <c r="F258" s="21" t="s">
        <v>3632</v>
      </c>
      <c r="G258" s="21"/>
    </row>
    <row r="259" ht="15.75" customHeight="1">
      <c r="A259" s="20" t="s">
        <v>3636</v>
      </c>
      <c r="B259" s="21" t="s">
        <v>3625</v>
      </c>
      <c r="C259" s="21" t="s">
        <v>3627</v>
      </c>
      <c r="D259" s="21" t="s">
        <v>7</v>
      </c>
      <c r="E259" s="21" t="s">
        <v>3639</v>
      </c>
      <c r="F259" s="21" t="s">
        <v>3640</v>
      </c>
      <c r="G259" s="21"/>
    </row>
    <row r="260" ht="15.75" customHeight="1">
      <c r="A260" s="20" t="s">
        <v>3643</v>
      </c>
      <c r="B260" s="21" t="s">
        <v>3625</v>
      </c>
      <c r="C260" s="21" t="s">
        <v>892</v>
      </c>
      <c r="D260" s="21" t="s">
        <v>7</v>
      </c>
      <c r="E260" s="21" t="s">
        <v>3645</v>
      </c>
      <c r="F260" s="21" t="s">
        <v>3647</v>
      </c>
      <c r="G260" s="21"/>
    </row>
    <row r="261" ht="15.75" customHeight="1">
      <c r="A261" s="20" t="s">
        <v>3648</v>
      </c>
      <c r="B261" s="21" t="s">
        <v>3625</v>
      </c>
      <c r="C261" s="21" t="s">
        <v>3627</v>
      </c>
      <c r="D261" s="21" t="s">
        <v>7</v>
      </c>
      <c r="E261" s="21" t="s">
        <v>3652</v>
      </c>
      <c r="F261" s="21" t="s">
        <v>3653</v>
      </c>
      <c r="G261" s="21"/>
    </row>
    <row r="262" ht="15.75" customHeight="1">
      <c r="A262" s="20" t="s">
        <v>3655</v>
      </c>
      <c r="B262" s="21" t="s">
        <v>3625</v>
      </c>
      <c r="C262" s="21" t="s">
        <v>3627</v>
      </c>
      <c r="D262" s="21" t="s">
        <v>7</v>
      </c>
      <c r="E262" s="21" t="s">
        <v>3657</v>
      </c>
      <c r="F262" s="21" t="s">
        <v>3659</v>
      </c>
      <c r="G262" s="21"/>
    </row>
    <row r="263" ht="15.75" customHeight="1">
      <c r="A263" s="20" t="s">
        <v>3661</v>
      </c>
      <c r="B263" s="21" t="s">
        <v>118</v>
      </c>
      <c r="C263" s="21" t="s">
        <v>119</v>
      </c>
      <c r="D263" s="21" t="s">
        <v>7</v>
      </c>
      <c r="E263" s="21" t="s">
        <v>3665</v>
      </c>
      <c r="F263" s="21" t="s">
        <v>3666</v>
      </c>
      <c r="G263" s="21"/>
    </row>
    <row r="264" ht="15.75" customHeight="1">
      <c r="A264" s="20" t="s">
        <v>3670</v>
      </c>
      <c r="B264" s="21" t="s">
        <v>118</v>
      </c>
      <c r="C264" s="21" t="s">
        <v>119</v>
      </c>
      <c r="D264" s="21" t="s">
        <v>7</v>
      </c>
      <c r="E264" s="21" t="s">
        <v>3672</v>
      </c>
      <c r="F264" s="21" t="s">
        <v>3673</v>
      </c>
      <c r="G264" s="21"/>
    </row>
    <row r="265" ht="15.75" customHeight="1">
      <c r="A265" s="20" t="s">
        <v>3676</v>
      </c>
      <c r="B265" s="21" t="s">
        <v>118</v>
      </c>
      <c r="C265" s="21" t="s">
        <v>119</v>
      </c>
      <c r="D265" s="21" t="s">
        <v>7</v>
      </c>
      <c r="E265" s="21" t="s">
        <v>3678</v>
      </c>
      <c r="F265" s="21" t="s">
        <v>3679</v>
      </c>
      <c r="G265" s="21"/>
    </row>
    <row r="266" ht="15.75" customHeight="1">
      <c r="A266" s="20" t="s">
        <v>3680</v>
      </c>
      <c r="B266" s="21" t="s">
        <v>118</v>
      </c>
      <c r="C266" s="21" t="s">
        <v>119</v>
      </c>
      <c r="D266" s="21" t="s">
        <v>7</v>
      </c>
      <c r="E266" s="21" t="s">
        <v>3681</v>
      </c>
      <c r="F266" s="21" t="s">
        <v>3682</v>
      </c>
      <c r="G266" s="21"/>
    </row>
    <row r="267" ht="15.75" customHeight="1">
      <c r="A267" s="20" t="s">
        <v>3683</v>
      </c>
      <c r="B267" s="21" t="s">
        <v>118</v>
      </c>
      <c r="C267" s="21" t="s">
        <v>119</v>
      </c>
      <c r="D267" s="21" t="s">
        <v>7</v>
      </c>
      <c r="E267" s="21" t="s">
        <v>3684</v>
      </c>
      <c r="F267" s="21" t="s">
        <v>3685</v>
      </c>
      <c r="G267" s="21"/>
    </row>
    <row r="268" ht="15.75" customHeight="1">
      <c r="A268" s="20" t="s">
        <v>3686</v>
      </c>
      <c r="B268" s="21" t="s">
        <v>118</v>
      </c>
      <c r="C268" s="21" t="s">
        <v>119</v>
      </c>
      <c r="D268" s="21" t="s">
        <v>7</v>
      </c>
      <c r="E268" s="21" t="s">
        <v>3687</v>
      </c>
      <c r="F268" s="21" t="s">
        <v>3688</v>
      </c>
      <c r="G268" s="21"/>
    </row>
    <row r="269" ht="15.75" customHeight="1">
      <c r="A269" s="20" t="s">
        <v>3689</v>
      </c>
      <c r="B269" s="21" t="s">
        <v>3690</v>
      </c>
      <c r="C269" s="21" t="s">
        <v>283</v>
      </c>
      <c r="D269" s="21" t="s">
        <v>7</v>
      </c>
      <c r="E269" s="21" t="s">
        <v>3691</v>
      </c>
      <c r="F269" s="21" t="s">
        <v>3692</v>
      </c>
      <c r="G269" s="21"/>
    </row>
    <row r="270" ht="15.75" customHeight="1">
      <c r="A270" s="20" t="s">
        <v>3693</v>
      </c>
      <c r="B270" s="21" t="s">
        <v>3694</v>
      </c>
      <c r="C270" s="21" t="s">
        <v>401</v>
      </c>
      <c r="D270" s="21" t="s">
        <v>7</v>
      </c>
      <c r="E270" s="21" t="s">
        <v>3695</v>
      </c>
      <c r="F270" s="21" t="s">
        <v>3696</v>
      </c>
      <c r="G270" s="21"/>
    </row>
    <row r="271" ht="15.75" customHeight="1">
      <c r="A271" s="20" t="s">
        <v>3697</v>
      </c>
      <c r="B271" s="21" t="s">
        <v>170</v>
      </c>
      <c r="C271" s="21" t="s">
        <v>171</v>
      </c>
      <c r="D271" s="21" t="s">
        <v>7</v>
      </c>
      <c r="E271" s="21" t="s">
        <v>3698</v>
      </c>
      <c r="F271" s="21" t="s">
        <v>3699</v>
      </c>
      <c r="G271" s="21"/>
    </row>
    <row r="272" ht="15.75" customHeight="1">
      <c r="A272" s="20" t="s">
        <v>3700</v>
      </c>
      <c r="B272" s="21" t="s">
        <v>1093</v>
      </c>
      <c r="C272" s="21" t="s">
        <v>342</v>
      </c>
      <c r="D272" s="21" t="s">
        <v>7</v>
      </c>
      <c r="E272" s="21" t="s">
        <v>3701</v>
      </c>
      <c r="F272" s="21" t="s">
        <v>3702</v>
      </c>
      <c r="G272" s="21"/>
    </row>
    <row r="273" ht="15.75" customHeight="1">
      <c r="A273" s="20" t="s">
        <v>3703</v>
      </c>
      <c r="B273" s="21" t="s">
        <v>3704</v>
      </c>
      <c r="C273" s="21" t="s">
        <v>703</v>
      </c>
      <c r="D273" s="21" t="s">
        <v>7</v>
      </c>
      <c r="E273" s="21" t="s">
        <v>3706</v>
      </c>
      <c r="F273" s="21" t="s">
        <v>3707</v>
      </c>
      <c r="G273" s="21"/>
    </row>
    <row r="274" ht="15.75" customHeight="1">
      <c r="A274" s="20" t="s">
        <v>3708</v>
      </c>
      <c r="B274" s="21" t="s">
        <v>3709</v>
      </c>
      <c r="C274" s="21" t="s">
        <v>3711</v>
      </c>
      <c r="D274" s="21" t="s">
        <v>7</v>
      </c>
      <c r="E274" s="21" t="s">
        <v>3713</v>
      </c>
      <c r="F274" s="21" t="s">
        <v>3714</v>
      </c>
      <c r="G274" s="21"/>
    </row>
    <row r="275" ht="15.75" customHeight="1">
      <c r="A275" s="20" t="s">
        <v>3716</v>
      </c>
      <c r="B275" s="21" t="s">
        <v>3709</v>
      </c>
      <c r="C275" s="21" t="s">
        <v>3711</v>
      </c>
      <c r="D275" s="21" t="s">
        <v>7</v>
      </c>
      <c r="E275" s="21" t="s">
        <v>3717</v>
      </c>
      <c r="F275" s="21" t="s">
        <v>3718</v>
      </c>
      <c r="G275" s="21"/>
    </row>
    <row r="276" ht="15.75" customHeight="1">
      <c r="A276" s="20" t="s">
        <v>3719</v>
      </c>
      <c r="B276" s="21" t="s">
        <v>178</v>
      </c>
      <c r="C276" s="21" t="s">
        <v>179</v>
      </c>
      <c r="D276" s="21" t="s">
        <v>7</v>
      </c>
      <c r="E276" s="21" t="s">
        <v>3720</v>
      </c>
      <c r="F276" s="21" t="s">
        <v>3721</v>
      </c>
      <c r="G276" s="21"/>
    </row>
    <row r="277" ht="15.75" customHeight="1">
      <c r="A277" s="20" t="s">
        <v>3722</v>
      </c>
      <c r="B277" s="21" t="s">
        <v>178</v>
      </c>
      <c r="C277" s="21" t="s">
        <v>179</v>
      </c>
      <c r="D277" s="21" t="s">
        <v>7</v>
      </c>
      <c r="E277" s="21" t="s">
        <v>3723</v>
      </c>
      <c r="F277" s="21" t="s">
        <v>3724</v>
      </c>
      <c r="G277" s="21"/>
    </row>
    <row r="278" ht="15.75" customHeight="1">
      <c r="A278" s="20" t="s">
        <v>3725</v>
      </c>
      <c r="B278" s="21" t="s">
        <v>178</v>
      </c>
      <c r="C278" s="21" t="s">
        <v>179</v>
      </c>
      <c r="D278" s="21" t="s">
        <v>7</v>
      </c>
      <c r="E278" s="21" t="s">
        <v>3726</v>
      </c>
      <c r="F278" s="21"/>
      <c r="G278" s="21"/>
    </row>
    <row r="279" ht="15.75" customHeight="1">
      <c r="A279" s="20" t="s">
        <v>3727</v>
      </c>
      <c r="B279" s="21" t="s">
        <v>178</v>
      </c>
      <c r="C279" s="21" t="s">
        <v>179</v>
      </c>
      <c r="D279" s="21" t="s">
        <v>7</v>
      </c>
      <c r="E279" s="21" t="s">
        <v>3729</v>
      </c>
      <c r="F279" s="21" t="s">
        <v>3730</v>
      </c>
      <c r="G279" s="21"/>
    </row>
    <row r="280" ht="15.75" customHeight="1">
      <c r="A280" s="20" t="s">
        <v>3732</v>
      </c>
      <c r="B280" s="21" t="s">
        <v>178</v>
      </c>
      <c r="C280" s="21" t="s">
        <v>179</v>
      </c>
      <c r="D280" s="21" t="s">
        <v>7</v>
      </c>
      <c r="E280" s="21" t="s">
        <v>3735</v>
      </c>
      <c r="F280" s="21" t="s">
        <v>3736</v>
      </c>
      <c r="G280" s="21"/>
    </row>
    <row r="281" ht="15.75" customHeight="1">
      <c r="A281" s="20" t="s">
        <v>3737</v>
      </c>
      <c r="B281" s="21" t="s">
        <v>178</v>
      </c>
      <c r="C281" s="21" t="s">
        <v>179</v>
      </c>
      <c r="D281" s="21" t="s">
        <v>7</v>
      </c>
      <c r="E281" s="21" t="s">
        <v>3738</v>
      </c>
      <c r="F281" s="21" t="s">
        <v>2680</v>
      </c>
      <c r="G281" s="21"/>
    </row>
    <row r="282" ht="15.75" customHeight="1">
      <c r="A282" s="20" t="s">
        <v>3739</v>
      </c>
      <c r="B282" s="21" t="s">
        <v>178</v>
      </c>
      <c r="C282" s="21" t="s">
        <v>179</v>
      </c>
      <c r="D282" s="21" t="s">
        <v>7</v>
      </c>
      <c r="E282" s="21" t="s">
        <v>3740</v>
      </c>
      <c r="F282" s="21" t="s">
        <v>3741</v>
      </c>
      <c r="G282" s="21"/>
    </row>
    <row r="283" ht="15.75" customHeight="1">
      <c r="A283" s="20" t="s">
        <v>3742</v>
      </c>
      <c r="B283" s="21" t="s">
        <v>3743</v>
      </c>
      <c r="C283" s="21" t="s">
        <v>3744</v>
      </c>
      <c r="D283" s="21" t="s">
        <v>7</v>
      </c>
      <c r="E283" s="21" t="s">
        <v>3745</v>
      </c>
      <c r="F283" s="21" t="s">
        <v>3746</v>
      </c>
      <c r="G283" s="21"/>
    </row>
    <row r="284" ht="15.75" customHeight="1">
      <c r="A284" s="20" t="s">
        <v>3747</v>
      </c>
      <c r="B284" s="21" t="s">
        <v>3748</v>
      </c>
      <c r="C284" s="21" t="s">
        <v>102</v>
      </c>
      <c r="D284" s="21" t="s">
        <v>7</v>
      </c>
      <c r="E284" s="21" t="s">
        <v>3749</v>
      </c>
      <c r="F284" s="21" t="s">
        <v>3750</v>
      </c>
      <c r="G284" s="21"/>
    </row>
    <row r="285" ht="15.75" customHeight="1">
      <c r="A285" s="20" t="s">
        <v>3752</v>
      </c>
      <c r="B285" s="21" t="s">
        <v>3748</v>
      </c>
      <c r="C285" s="21" t="s">
        <v>102</v>
      </c>
      <c r="D285" s="21" t="s">
        <v>7</v>
      </c>
      <c r="E285" s="21" t="s">
        <v>3754</v>
      </c>
      <c r="F285" s="21"/>
      <c r="G285" s="21"/>
    </row>
    <row r="286" ht="15.75" customHeight="1">
      <c r="A286" s="20" t="s">
        <v>3757</v>
      </c>
      <c r="B286" s="21" t="s">
        <v>3758</v>
      </c>
      <c r="C286" s="21" t="s">
        <v>3627</v>
      </c>
      <c r="D286" s="21" t="s">
        <v>7</v>
      </c>
      <c r="E286" s="21" t="s">
        <v>3759</v>
      </c>
      <c r="F286" s="21" t="s">
        <v>3760</v>
      </c>
      <c r="G286" s="21"/>
    </row>
    <row r="287" ht="15.75" customHeight="1">
      <c r="A287" s="20" t="s">
        <v>3761</v>
      </c>
      <c r="B287" s="21" t="s">
        <v>3758</v>
      </c>
      <c r="C287" s="21" t="s">
        <v>3627</v>
      </c>
      <c r="D287" s="21" t="s">
        <v>7</v>
      </c>
      <c r="E287" s="21" t="s">
        <v>3762</v>
      </c>
      <c r="F287" s="21" t="s">
        <v>3763</v>
      </c>
      <c r="G287" s="21"/>
    </row>
    <row r="288" ht="15.75" customHeight="1">
      <c r="A288" s="20" t="s">
        <v>3764</v>
      </c>
      <c r="B288" s="21" t="s">
        <v>3758</v>
      </c>
      <c r="C288" s="21" t="s">
        <v>3627</v>
      </c>
      <c r="D288" s="21" t="s">
        <v>7</v>
      </c>
      <c r="E288" s="21" t="s">
        <v>3765</v>
      </c>
      <c r="F288" s="21" t="s">
        <v>3766</v>
      </c>
      <c r="G288" s="21"/>
    </row>
    <row r="289" ht="15.75" customHeight="1">
      <c r="A289" s="20" t="s">
        <v>3767</v>
      </c>
      <c r="B289" s="21" t="s">
        <v>189</v>
      </c>
      <c r="C289" s="21" t="s">
        <v>119</v>
      </c>
      <c r="D289" s="21" t="s">
        <v>7</v>
      </c>
      <c r="E289" s="21" t="s">
        <v>3768</v>
      </c>
      <c r="F289" s="21" t="s">
        <v>3769</v>
      </c>
      <c r="G289" s="21"/>
    </row>
    <row r="290" ht="15.75" customHeight="1">
      <c r="A290" s="20" t="s">
        <v>3770</v>
      </c>
      <c r="B290" s="21" t="s">
        <v>189</v>
      </c>
      <c r="C290" s="21" t="s">
        <v>119</v>
      </c>
      <c r="D290" s="21" t="s">
        <v>7</v>
      </c>
      <c r="E290" s="21" t="s">
        <v>3771</v>
      </c>
      <c r="F290" s="21" t="s">
        <v>3772</v>
      </c>
      <c r="G290" s="21"/>
    </row>
    <row r="291" ht="15.75" customHeight="1">
      <c r="A291" s="20" t="s">
        <v>3773</v>
      </c>
      <c r="B291" s="21" t="s">
        <v>189</v>
      </c>
      <c r="C291" s="21" t="s">
        <v>119</v>
      </c>
      <c r="D291" s="21" t="s">
        <v>7</v>
      </c>
      <c r="E291" s="21" t="s">
        <v>3774</v>
      </c>
      <c r="F291" s="21" t="s">
        <v>3775</v>
      </c>
      <c r="G291" s="21"/>
    </row>
    <row r="292" ht="15.75" customHeight="1">
      <c r="A292" s="20" t="s">
        <v>3776</v>
      </c>
      <c r="B292" s="21" t="s">
        <v>3777</v>
      </c>
      <c r="C292" s="21" t="s">
        <v>119</v>
      </c>
      <c r="D292" s="21" t="s">
        <v>7</v>
      </c>
      <c r="E292" s="21" t="s">
        <v>3779</v>
      </c>
      <c r="F292" s="21" t="s">
        <v>3780</v>
      </c>
      <c r="G292" s="21"/>
    </row>
    <row r="293" ht="15.75" customHeight="1">
      <c r="A293" s="20" t="s">
        <v>3782</v>
      </c>
      <c r="B293" s="21" t="s">
        <v>3784</v>
      </c>
      <c r="C293" s="21" t="s">
        <v>3785</v>
      </c>
      <c r="D293" s="21" t="s">
        <v>7</v>
      </c>
      <c r="E293" s="21" t="s">
        <v>3787</v>
      </c>
      <c r="F293" s="21" t="s">
        <v>3788</v>
      </c>
      <c r="G293" s="21"/>
    </row>
    <row r="294" ht="15.75" customHeight="1">
      <c r="A294" s="20" t="s">
        <v>3789</v>
      </c>
      <c r="B294" s="21" t="s">
        <v>3790</v>
      </c>
      <c r="C294" s="21" t="s">
        <v>3791</v>
      </c>
      <c r="D294" s="21" t="s">
        <v>7</v>
      </c>
      <c r="E294" s="21" t="s">
        <v>3792</v>
      </c>
      <c r="F294" s="21" t="s">
        <v>3793</v>
      </c>
      <c r="G294" s="21"/>
    </row>
    <row r="295" ht="15.75" customHeight="1">
      <c r="A295" s="20" t="s">
        <v>3794</v>
      </c>
      <c r="B295" s="21" t="s">
        <v>3795</v>
      </c>
      <c r="C295" s="21" t="s">
        <v>3796</v>
      </c>
      <c r="D295" s="21" t="s">
        <v>7</v>
      </c>
      <c r="E295" s="21" t="s">
        <v>3797</v>
      </c>
      <c r="F295" s="21" t="s">
        <v>3798</v>
      </c>
      <c r="G295" s="21"/>
    </row>
    <row r="296" ht="15.75" customHeight="1">
      <c r="A296" s="20" t="s">
        <v>3799</v>
      </c>
      <c r="B296" s="21" t="s">
        <v>214</v>
      </c>
      <c r="C296" s="21" t="s">
        <v>216</v>
      </c>
      <c r="D296" s="21" t="s">
        <v>7</v>
      </c>
      <c r="E296" s="21" t="s">
        <v>3800</v>
      </c>
      <c r="F296" s="21" t="s">
        <v>3801</v>
      </c>
      <c r="G296" s="21"/>
    </row>
    <row r="297" ht="15.75" customHeight="1">
      <c r="A297" s="20" t="s">
        <v>3802</v>
      </c>
      <c r="B297" s="21" t="s">
        <v>214</v>
      </c>
      <c r="C297" s="21" t="s">
        <v>216</v>
      </c>
      <c r="D297" s="21" t="s">
        <v>7</v>
      </c>
      <c r="E297" s="21" t="s">
        <v>3803</v>
      </c>
      <c r="F297" s="21" t="s">
        <v>3804</v>
      </c>
      <c r="G297" s="21"/>
    </row>
    <row r="298" ht="15.75" customHeight="1">
      <c r="A298" s="20" t="s">
        <v>3805</v>
      </c>
      <c r="B298" s="21" t="s">
        <v>214</v>
      </c>
      <c r="C298" s="21" t="s">
        <v>216</v>
      </c>
      <c r="D298" s="21" t="s">
        <v>7</v>
      </c>
      <c r="E298" s="21" t="s">
        <v>3806</v>
      </c>
      <c r="F298" s="21" t="s">
        <v>3807</v>
      </c>
      <c r="G298" s="21"/>
    </row>
    <row r="299" ht="15.75" customHeight="1">
      <c r="A299" s="20" t="s">
        <v>3809</v>
      </c>
      <c r="B299" s="21" t="s">
        <v>214</v>
      </c>
      <c r="C299" s="21" t="s">
        <v>216</v>
      </c>
      <c r="D299" s="21" t="s">
        <v>7</v>
      </c>
      <c r="E299" s="21" t="s">
        <v>3810</v>
      </c>
      <c r="F299" s="21" t="s">
        <v>3811</v>
      </c>
      <c r="G299" s="21"/>
    </row>
    <row r="300" ht="15.75" customHeight="1">
      <c r="A300" s="20" t="s">
        <v>3814</v>
      </c>
      <c r="B300" s="21" t="s">
        <v>214</v>
      </c>
      <c r="C300" s="21" t="s">
        <v>216</v>
      </c>
      <c r="D300" s="21" t="s">
        <v>7</v>
      </c>
      <c r="E300" s="21" t="s">
        <v>3816</v>
      </c>
      <c r="F300" s="21" t="s">
        <v>3817</v>
      </c>
      <c r="G300" s="21"/>
    </row>
    <row r="301" ht="15.75" customHeight="1">
      <c r="A301" s="20" t="s">
        <v>3818</v>
      </c>
      <c r="B301" s="21" t="s">
        <v>214</v>
      </c>
      <c r="C301" s="21" t="s">
        <v>216</v>
      </c>
      <c r="D301" s="21" t="s">
        <v>7</v>
      </c>
      <c r="E301" s="21" t="s">
        <v>3819</v>
      </c>
      <c r="F301" s="21" t="s">
        <v>3820</v>
      </c>
      <c r="G301" s="21"/>
    </row>
    <row r="302" ht="15.75" customHeight="1">
      <c r="A302" s="20" t="s">
        <v>3821</v>
      </c>
      <c r="B302" s="21" t="s">
        <v>214</v>
      </c>
      <c r="C302" s="21" t="s">
        <v>216</v>
      </c>
      <c r="D302" s="21" t="s">
        <v>7</v>
      </c>
      <c r="E302" s="21" t="s">
        <v>3822</v>
      </c>
      <c r="F302" s="21" t="s">
        <v>3823</v>
      </c>
      <c r="G302" s="21"/>
    </row>
    <row r="303" ht="15.75" customHeight="1">
      <c r="A303" s="20" t="s">
        <v>3824</v>
      </c>
      <c r="B303" s="21" t="s">
        <v>214</v>
      </c>
      <c r="C303" s="21" t="s">
        <v>216</v>
      </c>
      <c r="D303" s="21" t="s">
        <v>7</v>
      </c>
      <c r="E303" s="21" t="s">
        <v>3825</v>
      </c>
      <c r="F303" s="21" t="s">
        <v>3826</v>
      </c>
      <c r="G303" s="21"/>
    </row>
    <row r="304" ht="15.75" customHeight="1">
      <c r="A304" s="20" t="s">
        <v>3827</v>
      </c>
      <c r="B304" s="21" t="s">
        <v>214</v>
      </c>
      <c r="C304" s="21" t="s">
        <v>216</v>
      </c>
      <c r="D304" s="21" t="s">
        <v>7</v>
      </c>
      <c r="E304" s="21" t="s">
        <v>3828</v>
      </c>
      <c r="F304" s="21" t="s">
        <v>3830</v>
      </c>
      <c r="G304" s="21"/>
    </row>
    <row r="305" ht="15.75" customHeight="1">
      <c r="A305" s="20" t="s">
        <v>3831</v>
      </c>
      <c r="B305" s="21" t="s">
        <v>214</v>
      </c>
      <c r="C305" s="21" t="s">
        <v>216</v>
      </c>
      <c r="D305" s="21" t="s">
        <v>7</v>
      </c>
      <c r="E305" s="21" t="s">
        <v>3834</v>
      </c>
      <c r="F305" s="21" t="s">
        <v>3836</v>
      </c>
      <c r="G305" s="21"/>
    </row>
    <row r="306" ht="15.75" customHeight="1">
      <c r="A306" s="20" t="s">
        <v>3837</v>
      </c>
      <c r="B306" s="21" t="s">
        <v>214</v>
      </c>
      <c r="C306" s="21" t="s">
        <v>216</v>
      </c>
      <c r="D306" s="21" t="s">
        <v>7</v>
      </c>
      <c r="E306" s="21" t="s">
        <v>3838</v>
      </c>
      <c r="F306" s="21" t="s">
        <v>3839</v>
      </c>
      <c r="G306" s="21"/>
    </row>
    <row r="307" ht="15.75" customHeight="1">
      <c r="A307" s="20" t="s">
        <v>3840</v>
      </c>
      <c r="B307" s="21" t="s">
        <v>214</v>
      </c>
      <c r="C307" s="21" t="s">
        <v>216</v>
      </c>
      <c r="D307" s="21" t="s">
        <v>7</v>
      </c>
      <c r="E307" s="21" t="s">
        <v>3841</v>
      </c>
      <c r="F307" s="21" t="s">
        <v>3842</v>
      </c>
      <c r="G307" s="21"/>
    </row>
    <row r="308" ht="15.75" customHeight="1">
      <c r="A308" s="20" t="s">
        <v>3843</v>
      </c>
      <c r="B308" s="21" t="s">
        <v>214</v>
      </c>
      <c r="C308" s="21" t="s">
        <v>216</v>
      </c>
      <c r="D308" s="21" t="s">
        <v>7</v>
      </c>
      <c r="E308" s="21" t="s">
        <v>3844</v>
      </c>
      <c r="F308" s="21" t="s">
        <v>3845</v>
      </c>
      <c r="G308" s="21"/>
    </row>
    <row r="309" ht="15.75" customHeight="1">
      <c r="A309" s="20" t="s">
        <v>3846</v>
      </c>
      <c r="B309" s="21" t="s">
        <v>214</v>
      </c>
      <c r="C309" s="21" t="s">
        <v>216</v>
      </c>
      <c r="D309" s="21" t="s">
        <v>7</v>
      </c>
      <c r="E309" s="21" t="s">
        <v>3847</v>
      </c>
      <c r="F309" s="21" t="s">
        <v>3848</v>
      </c>
      <c r="G309" s="21"/>
    </row>
    <row r="310" ht="15.75" customHeight="1">
      <c r="A310" s="20" t="s">
        <v>3849</v>
      </c>
      <c r="B310" s="21" t="s">
        <v>214</v>
      </c>
      <c r="C310" s="21" t="s">
        <v>216</v>
      </c>
      <c r="D310" s="21" t="s">
        <v>7</v>
      </c>
      <c r="E310" s="21" t="s">
        <v>3850</v>
      </c>
      <c r="F310" s="21" t="s">
        <v>3851</v>
      </c>
      <c r="G310" s="21"/>
    </row>
    <row r="311" ht="15.75" customHeight="1">
      <c r="A311" s="20" t="s">
        <v>3853</v>
      </c>
      <c r="B311" s="21" t="s">
        <v>214</v>
      </c>
      <c r="C311" s="21" t="s">
        <v>216</v>
      </c>
      <c r="D311" s="21" t="s">
        <v>7</v>
      </c>
      <c r="E311" s="21" t="s">
        <v>3854</v>
      </c>
      <c r="F311" s="21" t="s">
        <v>3855</v>
      </c>
      <c r="G311" s="21"/>
    </row>
    <row r="312" ht="15.75" customHeight="1">
      <c r="A312" s="20" t="s">
        <v>291</v>
      </c>
      <c r="B312" s="21" t="s">
        <v>214</v>
      </c>
      <c r="C312" s="21" t="s">
        <v>216</v>
      </c>
      <c r="D312" s="21" t="s">
        <v>7</v>
      </c>
      <c r="E312" s="21" t="s">
        <v>3859</v>
      </c>
      <c r="F312" s="21" t="s">
        <v>3860</v>
      </c>
      <c r="G312" s="21"/>
    </row>
    <row r="313" ht="15.75" customHeight="1">
      <c r="A313" s="20" t="s">
        <v>3861</v>
      </c>
      <c r="B313" s="21" t="s">
        <v>214</v>
      </c>
      <c r="C313" s="21" t="s">
        <v>216</v>
      </c>
      <c r="D313" s="21" t="s">
        <v>7</v>
      </c>
      <c r="E313" s="21" t="s">
        <v>3862</v>
      </c>
      <c r="F313" s="21" t="s">
        <v>3863</v>
      </c>
      <c r="G313" s="21"/>
    </row>
    <row r="314" ht="15.75" customHeight="1">
      <c r="A314" s="20" t="s">
        <v>3864</v>
      </c>
      <c r="B314" s="21" t="s">
        <v>214</v>
      </c>
      <c r="C314" s="21" t="s">
        <v>216</v>
      </c>
      <c r="D314" s="21" t="s">
        <v>7</v>
      </c>
      <c r="E314" s="21" t="s">
        <v>3865</v>
      </c>
      <c r="F314" s="21" t="s">
        <v>3866</v>
      </c>
      <c r="G314" s="21"/>
    </row>
    <row r="315" ht="15.75" customHeight="1">
      <c r="A315" s="20" t="s">
        <v>3867</v>
      </c>
      <c r="B315" s="21" t="s">
        <v>214</v>
      </c>
      <c r="C315" s="21" t="s">
        <v>216</v>
      </c>
      <c r="D315" s="21" t="s">
        <v>7</v>
      </c>
      <c r="E315" s="21" t="s">
        <v>3868</v>
      </c>
      <c r="F315" s="21"/>
      <c r="G315" s="21"/>
    </row>
    <row r="316" ht="15.75" customHeight="1">
      <c r="A316" s="20" t="s">
        <v>3869</v>
      </c>
      <c r="B316" s="21" t="s">
        <v>214</v>
      </c>
      <c r="C316" s="21" t="s">
        <v>216</v>
      </c>
      <c r="D316" s="21" t="s">
        <v>7</v>
      </c>
      <c r="E316" s="21" t="s">
        <v>3870</v>
      </c>
      <c r="F316" s="21" t="s">
        <v>3871</v>
      </c>
      <c r="G316" s="21"/>
    </row>
    <row r="317" ht="15.75" customHeight="1">
      <c r="A317" s="20" t="s">
        <v>3873</v>
      </c>
      <c r="B317" s="21" t="s">
        <v>214</v>
      </c>
      <c r="C317" s="21" t="s">
        <v>216</v>
      </c>
      <c r="D317" s="21" t="s">
        <v>7</v>
      </c>
      <c r="E317" s="21" t="s">
        <v>3876</v>
      </c>
      <c r="F317" s="21" t="s">
        <v>3877</v>
      </c>
      <c r="G317" s="21"/>
    </row>
    <row r="318" ht="15.75" customHeight="1">
      <c r="A318" s="20" t="s">
        <v>3879</v>
      </c>
      <c r="B318" s="21" t="s">
        <v>214</v>
      </c>
      <c r="C318" s="21" t="s">
        <v>216</v>
      </c>
      <c r="D318" s="21" t="s">
        <v>7</v>
      </c>
      <c r="E318" s="21" t="s">
        <v>3880</v>
      </c>
      <c r="F318" s="21" t="s">
        <v>3881</v>
      </c>
      <c r="G318" s="21"/>
    </row>
    <row r="319" ht="15.75" customHeight="1">
      <c r="A319" s="20" t="s">
        <v>3882</v>
      </c>
      <c r="B319" s="21" t="s">
        <v>214</v>
      </c>
      <c r="C319" s="21" t="s">
        <v>216</v>
      </c>
      <c r="D319" s="21" t="s">
        <v>7</v>
      </c>
      <c r="E319" s="21" t="s">
        <v>3883</v>
      </c>
      <c r="F319" s="21" t="s">
        <v>3884</v>
      </c>
      <c r="G319" s="21"/>
    </row>
    <row r="320" ht="15.75" customHeight="1">
      <c r="A320" s="20" t="s">
        <v>3885</v>
      </c>
      <c r="B320" s="21" t="s">
        <v>214</v>
      </c>
      <c r="C320" s="21" t="s">
        <v>216</v>
      </c>
      <c r="D320" s="21" t="s">
        <v>7</v>
      </c>
      <c r="E320" s="21" t="s">
        <v>3886</v>
      </c>
      <c r="F320" s="21"/>
      <c r="G320" s="21"/>
    </row>
    <row r="321" ht="15.75" customHeight="1">
      <c r="A321" s="20" t="s">
        <v>3887</v>
      </c>
      <c r="B321" s="21" t="s">
        <v>214</v>
      </c>
      <c r="C321" s="21" t="s">
        <v>216</v>
      </c>
      <c r="D321" s="21" t="s">
        <v>7</v>
      </c>
      <c r="E321" s="21" t="s">
        <v>3888</v>
      </c>
      <c r="F321" s="21" t="s">
        <v>3889</v>
      </c>
      <c r="G321" s="21"/>
    </row>
    <row r="322" ht="15.75" customHeight="1">
      <c r="A322" s="20" t="s">
        <v>3890</v>
      </c>
      <c r="B322" s="21" t="s">
        <v>214</v>
      </c>
      <c r="C322" s="21" t="s">
        <v>216</v>
      </c>
      <c r="D322" s="21" t="s">
        <v>7</v>
      </c>
      <c r="E322" s="21" t="s">
        <v>3891</v>
      </c>
      <c r="F322" s="21" t="s">
        <v>3892</v>
      </c>
      <c r="G322" s="21"/>
    </row>
    <row r="323" ht="15.75" customHeight="1">
      <c r="A323" s="20" t="s">
        <v>3893</v>
      </c>
      <c r="B323" s="21" t="s">
        <v>214</v>
      </c>
      <c r="C323" s="21" t="s">
        <v>216</v>
      </c>
      <c r="D323" s="21" t="s">
        <v>7</v>
      </c>
      <c r="E323" s="21" t="s">
        <v>3894</v>
      </c>
      <c r="F323" s="21"/>
      <c r="G323" s="21"/>
    </row>
    <row r="324" ht="15.75" customHeight="1">
      <c r="A324" s="20" t="s">
        <v>3896</v>
      </c>
      <c r="B324" s="21" t="s">
        <v>2217</v>
      </c>
      <c r="C324" s="21" t="s">
        <v>2897</v>
      </c>
      <c r="D324" s="21" t="s">
        <v>7</v>
      </c>
      <c r="E324" s="21" t="s">
        <v>3898</v>
      </c>
      <c r="F324" s="21"/>
      <c r="G324" s="21"/>
    </row>
    <row r="325" ht="15.75" customHeight="1">
      <c r="A325" s="20" t="s">
        <v>3901</v>
      </c>
      <c r="B325" s="21" t="s">
        <v>2217</v>
      </c>
      <c r="C325" s="21" t="s">
        <v>2897</v>
      </c>
      <c r="D325" s="21" t="s">
        <v>7</v>
      </c>
      <c r="E325" s="21" t="s">
        <v>3902</v>
      </c>
      <c r="F325" s="21" t="s">
        <v>3903</v>
      </c>
      <c r="G325" s="21"/>
    </row>
    <row r="326" ht="15.75" customHeight="1">
      <c r="A326" s="20" t="s">
        <v>3904</v>
      </c>
      <c r="B326" s="21" t="s">
        <v>2217</v>
      </c>
      <c r="C326" s="21" t="s">
        <v>2897</v>
      </c>
      <c r="D326" s="21" t="s">
        <v>7</v>
      </c>
      <c r="E326" s="21" t="s">
        <v>3905</v>
      </c>
      <c r="F326" s="21" t="s">
        <v>3906</v>
      </c>
      <c r="G326" s="21"/>
    </row>
    <row r="327" ht="15.75" customHeight="1">
      <c r="A327" s="20" t="s">
        <v>3907</v>
      </c>
      <c r="B327" s="21" t="s">
        <v>2217</v>
      </c>
      <c r="C327" s="21" t="s">
        <v>2897</v>
      </c>
      <c r="D327" s="21" t="s">
        <v>7</v>
      </c>
      <c r="E327" s="21" t="s">
        <v>3908</v>
      </c>
      <c r="F327" s="21" t="s">
        <v>3909</v>
      </c>
      <c r="G327" s="21"/>
    </row>
    <row r="328" ht="15.75" customHeight="1">
      <c r="A328" s="20" t="s">
        <v>3910</v>
      </c>
      <c r="B328" s="21" t="s">
        <v>2217</v>
      </c>
      <c r="C328" s="21" t="s">
        <v>2897</v>
      </c>
      <c r="D328" s="21" t="s">
        <v>7</v>
      </c>
      <c r="E328" s="21" t="s">
        <v>3911</v>
      </c>
      <c r="F328" s="21" t="s">
        <v>3912</v>
      </c>
      <c r="G328" s="21"/>
    </row>
    <row r="329" ht="15.75" customHeight="1">
      <c r="A329" s="20" t="s">
        <v>3914</v>
      </c>
      <c r="B329" s="21" t="s">
        <v>2217</v>
      </c>
      <c r="C329" s="21" t="s">
        <v>2897</v>
      </c>
      <c r="D329" s="21" t="s">
        <v>7</v>
      </c>
      <c r="E329" s="21" t="s">
        <v>3916</v>
      </c>
      <c r="F329" s="21" t="s">
        <v>3917</v>
      </c>
      <c r="G329" s="21"/>
    </row>
    <row r="330" ht="15.75" customHeight="1">
      <c r="A330" s="20" t="s">
        <v>3920</v>
      </c>
      <c r="B330" s="21" t="s">
        <v>2217</v>
      </c>
      <c r="C330" s="21" t="s">
        <v>2897</v>
      </c>
      <c r="D330" s="21" t="s">
        <v>7</v>
      </c>
      <c r="E330" s="21" t="s">
        <v>3921</v>
      </c>
      <c r="F330" s="21" t="s">
        <v>3922</v>
      </c>
      <c r="G330" s="21"/>
    </row>
    <row r="331" ht="15.75" customHeight="1">
      <c r="A331" s="20" t="s">
        <v>3923</v>
      </c>
      <c r="B331" s="21" t="s">
        <v>245</v>
      </c>
      <c r="C331" s="21" t="s">
        <v>246</v>
      </c>
      <c r="D331" s="21" t="s">
        <v>7</v>
      </c>
      <c r="E331" s="21" t="s">
        <v>3924</v>
      </c>
      <c r="F331" s="21"/>
      <c r="G331" s="21"/>
    </row>
    <row r="332" ht="15.75" customHeight="1">
      <c r="A332" s="20" t="s">
        <v>3925</v>
      </c>
      <c r="B332" s="21" t="s">
        <v>245</v>
      </c>
      <c r="C332" s="21" t="s">
        <v>246</v>
      </c>
      <c r="D332" s="21" t="s">
        <v>7</v>
      </c>
      <c r="E332" s="20" t="s">
        <v>3926</v>
      </c>
      <c r="F332" s="20" t="s">
        <v>3927</v>
      </c>
      <c r="G332" s="20" t="s">
        <v>3928</v>
      </c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</row>
    <row r="333" ht="15.75" customHeight="1">
      <c r="A333" s="20" t="s">
        <v>3933</v>
      </c>
      <c r="B333" s="21" t="s">
        <v>3934</v>
      </c>
      <c r="C333" s="21" t="s">
        <v>3935</v>
      </c>
      <c r="D333" s="21" t="s">
        <v>7</v>
      </c>
      <c r="E333" s="21" t="s">
        <v>3936</v>
      </c>
      <c r="F333" s="21"/>
      <c r="G333" s="21"/>
    </row>
    <row r="334" ht="15.75" customHeight="1">
      <c r="A334" s="20" t="s">
        <v>3937</v>
      </c>
      <c r="B334" s="21" t="s">
        <v>3934</v>
      </c>
      <c r="C334" s="21" t="s">
        <v>3935</v>
      </c>
      <c r="D334" s="21" t="s">
        <v>7</v>
      </c>
      <c r="E334" s="21" t="s">
        <v>3938</v>
      </c>
      <c r="F334" s="21" t="s">
        <v>3939</v>
      </c>
      <c r="G334" s="21"/>
    </row>
    <row r="335" ht="15.75" customHeight="1">
      <c r="A335" s="20" t="s">
        <v>3940</v>
      </c>
      <c r="B335" s="21" t="s">
        <v>3934</v>
      </c>
      <c r="C335" s="21" t="s">
        <v>3935</v>
      </c>
      <c r="D335" s="21" t="s">
        <v>7</v>
      </c>
      <c r="E335" s="21" t="s">
        <v>3941</v>
      </c>
      <c r="F335" s="21" t="s">
        <v>3943</v>
      </c>
      <c r="G335" s="21"/>
    </row>
    <row r="336" ht="15.75" customHeight="1">
      <c r="A336" s="20" t="s">
        <v>3945</v>
      </c>
      <c r="B336" s="21" t="s">
        <v>3934</v>
      </c>
      <c r="C336" s="21" t="s">
        <v>3935</v>
      </c>
      <c r="D336" s="21" t="s">
        <v>7</v>
      </c>
      <c r="E336" s="21" t="s">
        <v>3948</v>
      </c>
      <c r="F336" s="21" t="s">
        <v>3949</v>
      </c>
      <c r="G336" s="21"/>
    </row>
    <row r="337" ht="15.75" customHeight="1">
      <c r="A337" s="20" t="s">
        <v>3950</v>
      </c>
      <c r="B337" s="21" t="s">
        <v>3951</v>
      </c>
      <c r="C337" s="21" t="s">
        <v>3785</v>
      </c>
      <c r="D337" s="21" t="s">
        <v>7</v>
      </c>
      <c r="E337" s="21" t="s">
        <v>3952</v>
      </c>
      <c r="F337" s="21"/>
      <c r="G337" s="21"/>
    </row>
    <row r="338" ht="15.75" customHeight="1">
      <c r="A338" s="20" t="s">
        <v>3953</v>
      </c>
      <c r="B338" s="21" t="s">
        <v>3951</v>
      </c>
      <c r="C338" s="21" t="s">
        <v>3785</v>
      </c>
      <c r="D338" s="21" t="s">
        <v>7</v>
      </c>
      <c r="E338" s="21" t="s">
        <v>3954</v>
      </c>
      <c r="F338" s="21" t="s">
        <v>3955</v>
      </c>
      <c r="G338" s="21"/>
    </row>
    <row r="339" ht="15.75" customHeight="1">
      <c r="A339" s="20" t="s">
        <v>3956</v>
      </c>
      <c r="B339" s="21" t="s">
        <v>3957</v>
      </c>
      <c r="C339" s="21" t="s">
        <v>3958</v>
      </c>
      <c r="D339" s="21" t="s">
        <v>7</v>
      </c>
      <c r="E339" s="21" t="s">
        <v>3959</v>
      </c>
      <c r="F339" s="21"/>
      <c r="G339" s="21"/>
    </row>
    <row r="340" ht="15.75" customHeight="1">
      <c r="A340" s="20" t="s">
        <v>3960</v>
      </c>
      <c r="B340" s="21" t="s">
        <v>3957</v>
      </c>
      <c r="C340" s="21" t="s">
        <v>3958</v>
      </c>
      <c r="D340" s="21" t="s">
        <v>7</v>
      </c>
      <c r="E340" s="21" t="s">
        <v>3961</v>
      </c>
      <c r="F340" s="21" t="s">
        <v>3962</v>
      </c>
      <c r="G340" s="21"/>
    </row>
    <row r="341" ht="15.75" customHeight="1">
      <c r="A341" s="20" t="s">
        <v>3963</v>
      </c>
      <c r="B341" s="21" t="s">
        <v>318</v>
      </c>
      <c r="C341" s="21" t="s">
        <v>321</v>
      </c>
      <c r="D341" s="21" t="s">
        <v>7</v>
      </c>
      <c r="E341" s="21" t="s">
        <v>3964</v>
      </c>
      <c r="F341" s="21" t="s">
        <v>3965</v>
      </c>
      <c r="G341" s="21"/>
    </row>
    <row r="342" ht="15.75" customHeight="1">
      <c r="A342" s="20" t="s">
        <v>3967</v>
      </c>
      <c r="B342" s="21" t="s">
        <v>318</v>
      </c>
      <c r="C342" s="21" t="s">
        <v>321</v>
      </c>
      <c r="D342" s="21" t="s">
        <v>7</v>
      </c>
      <c r="E342" s="21" t="s">
        <v>3968</v>
      </c>
      <c r="F342" s="21" t="s">
        <v>3970</v>
      </c>
      <c r="G342" s="21"/>
    </row>
    <row r="343" ht="15.75" customHeight="1">
      <c r="A343" s="20" t="s">
        <v>3973</v>
      </c>
      <c r="B343" s="21" t="s">
        <v>318</v>
      </c>
      <c r="C343" s="21" t="s">
        <v>321</v>
      </c>
      <c r="D343" s="21" t="s">
        <v>7</v>
      </c>
      <c r="E343" s="21" t="s">
        <v>3974</v>
      </c>
      <c r="F343" s="21" t="s">
        <v>3975</v>
      </c>
      <c r="G343" s="21"/>
    </row>
    <row r="344" ht="15.75" customHeight="1">
      <c r="A344" s="20" t="s">
        <v>3976</v>
      </c>
      <c r="B344" s="21" t="s">
        <v>318</v>
      </c>
      <c r="C344" s="21" t="s">
        <v>321</v>
      </c>
      <c r="D344" s="21" t="s">
        <v>7</v>
      </c>
      <c r="E344" s="21" t="s">
        <v>3977</v>
      </c>
      <c r="F344" s="21" t="s">
        <v>3978</v>
      </c>
      <c r="G344" s="21"/>
    </row>
    <row r="345" ht="15.75" customHeight="1">
      <c r="A345" s="20" t="s">
        <v>3979</v>
      </c>
      <c r="B345" s="21" t="s">
        <v>318</v>
      </c>
      <c r="C345" s="21" t="s">
        <v>321</v>
      </c>
      <c r="D345" s="21" t="s">
        <v>7</v>
      </c>
      <c r="E345" s="21" t="s">
        <v>3980</v>
      </c>
      <c r="F345" s="21" t="s">
        <v>3981</v>
      </c>
      <c r="G345" s="21"/>
    </row>
    <row r="346" ht="15.75" customHeight="1">
      <c r="A346" s="20" t="s">
        <v>3982</v>
      </c>
      <c r="B346" s="21" t="s">
        <v>318</v>
      </c>
      <c r="C346" s="21" t="s">
        <v>321</v>
      </c>
      <c r="D346" s="21" t="s">
        <v>7</v>
      </c>
      <c r="E346" s="21" t="s">
        <v>3984</v>
      </c>
      <c r="F346" s="21" t="s">
        <v>3985</v>
      </c>
      <c r="G346" s="21"/>
    </row>
    <row r="347" ht="15.75" customHeight="1">
      <c r="A347" s="20" t="s">
        <v>3988</v>
      </c>
      <c r="B347" s="21" t="s">
        <v>318</v>
      </c>
      <c r="C347" s="21" t="s">
        <v>321</v>
      </c>
      <c r="D347" s="21" t="s">
        <v>7</v>
      </c>
      <c r="E347" s="21" t="s">
        <v>3990</v>
      </c>
      <c r="F347" s="21" t="s">
        <v>3985</v>
      </c>
      <c r="G347" s="21"/>
    </row>
    <row r="348" ht="15.75" customHeight="1">
      <c r="A348" s="20" t="s">
        <v>3992</v>
      </c>
      <c r="B348" s="21" t="s">
        <v>318</v>
      </c>
      <c r="C348" s="21" t="s">
        <v>321</v>
      </c>
      <c r="D348" s="21" t="s">
        <v>7</v>
      </c>
      <c r="E348" s="21" t="s">
        <v>3995</v>
      </c>
      <c r="F348" s="21" t="s">
        <v>3996</v>
      </c>
      <c r="G348" s="21"/>
    </row>
    <row r="349" ht="15.75" customHeight="1">
      <c r="A349" s="20" t="s">
        <v>3997</v>
      </c>
      <c r="B349" s="21" t="s">
        <v>318</v>
      </c>
      <c r="C349" s="21" t="s">
        <v>321</v>
      </c>
      <c r="D349" s="21" t="s">
        <v>7</v>
      </c>
      <c r="E349" s="21" t="s">
        <v>3998</v>
      </c>
      <c r="F349" s="21" t="s">
        <v>3999</v>
      </c>
      <c r="G349" s="21"/>
    </row>
    <row r="350" ht="15.75" customHeight="1">
      <c r="A350" s="20" t="s">
        <v>4000</v>
      </c>
      <c r="B350" s="21" t="s">
        <v>318</v>
      </c>
      <c r="C350" s="21" t="s">
        <v>321</v>
      </c>
      <c r="D350" s="21" t="s">
        <v>7</v>
      </c>
      <c r="E350" s="21" t="s">
        <v>4001</v>
      </c>
      <c r="F350" s="21" t="s">
        <v>4002</v>
      </c>
      <c r="G350" s="21"/>
    </row>
    <row r="351" ht="15.75" customHeight="1">
      <c r="A351" s="20" t="s">
        <v>4003</v>
      </c>
      <c r="B351" s="21" t="s">
        <v>318</v>
      </c>
      <c r="C351" s="21" t="s">
        <v>321</v>
      </c>
      <c r="D351" s="21" t="s">
        <v>7</v>
      </c>
      <c r="E351" s="21" t="s">
        <v>4004</v>
      </c>
      <c r="F351" s="21" t="s">
        <v>4006</v>
      </c>
      <c r="G351" s="21"/>
    </row>
    <row r="352" ht="15.75" customHeight="1">
      <c r="A352" s="20" t="s">
        <v>4008</v>
      </c>
      <c r="B352" s="21" t="s">
        <v>318</v>
      </c>
      <c r="C352" s="21" t="s">
        <v>321</v>
      </c>
      <c r="D352" s="21" t="s">
        <v>7</v>
      </c>
      <c r="E352" s="21" t="s">
        <v>4011</v>
      </c>
      <c r="F352" s="21" t="s">
        <v>4012</v>
      </c>
      <c r="G352" s="21"/>
    </row>
    <row r="353" ht="15.75" customHeight="1">
      <c r="A353" s="20" t="s">
        <v>4013</v>
      </c>
      <c r="B353" s="21" t="s">
        <v>318</v>
      </c>
      <c r="C353" s="21" t="s">
        <v>321</v>
      </c>
      <c r="D353" s="21" t="s">
        <v>7</v>
      </c>
      <c r="E353" s="21" t="s">
        <v>4014</v>
      </c>
      <c r="F353" s="21" t="s">
        <v>4015</v>
      </c>
      <c r="G353" s="21"/>
    </row>
    <row r="354" ht="15.75" customHeight="1">
      <c r="A354" s="20" t="s">
        <v>4016</v>
      </c>
      <c r="B354" s="21" t="s">
        <v>318</v>
      </c>
      <c r="C354" s="21" t="s">
        <v>321</v>
      </c>
      <c r="D354" s="21" t="s">
        <v>7</v>
      </c>
      <c r="E354" s="21" t="s">
        <v>4017</v>
      </c>
      <c r="F354" s="21" t="s">
        <v>4018</v>
      </c>
      <c r="G354" s="21"/>
    </row>
    <row r="355" ht="15.75" customHeight="1">
      <c r="A355" s="20" t="s">
        <v>4019</v>
      </c>
      <c r="B355" s="21" t="s">
        <v>318</v>
      </c>
      <c r="C355" s="21" t="s">
        <v>321</v>
      </c>
      <c r="D355" s="21" t="s">
        <v>7</v>
      </c>
      <c r="E355" s="21" t="s">
        <v>4020</v>
      </c>
      <c r="F355" s="21" t="s">
        <v>4021</v>
      </c>
      <c r="G355" s="21"/>
    </row>
    <row r="356" ht="15.75" customHeight="1">
      <c r="A356" s="20" t="s">
        <v>4022</v>
      </c>
      <c r="B356" s="21" t="s">
        <v>318</v>
      </c>
      <c r="C356" s="21" t="s">
        <v>321</v>
      </c>
      <c r="D356" s="21" t="s">
        <v>7</v>
      </c>
      <c r="E356" s="21" t="s">
        <v>4024</v>
      </c>
      <c r="F356" s="21" t="s">
        <v>4026</v>
      </c>
      <c r="G356" s="21"/>
    </row>
    <row r="357" ht="15.75" customHeight="1">
      <c r="A357" s="20" t="s">
        <v>4029</v>
      </c>
      <c r="B357" s="21" t="s">
        <v>318</v>
      </c>
      <c r="C357" s="21" t="s">
        <v>321</v>
      </c>
      <c r="D357" s="21" t="s">
        <v>7</v>
      </c>
      <c r="E357" s="21" t="s">
        <v>4030</v>
      </c>
      <c r="F357" s="21" t="s">
        <v>4031</v>
      </c>
      <c r="G357" s="21"/>
    </row>
    <row r="358" ht="15.75" customHeight="1">
      <c r="A358" s="20" t="s">
        <v>4032</v>
      </c>
      <c r="B358" s="21" t="s">
        <v>318</v>
      </c>
      <c r="C358" s="21" t="s">
        <v>321</v>
      </c>
      <c r="D358" s="21" t="s">
        <v>7</v>
      </c>
      <c r="E358" s="21" t="s">
        <v>4033</v>
      </c>
      <c r="F358" s="21" t="s">
        <v>4034</v>
      </c>
      <c r="G358" s="21"/>
    </row>
    <row r="359" ht="15.75" customHeight="1">
      <c r="A359" s="20" t="s">
        <v>4035</v>
      </c>
      <c r="B359" s="21" t="s">
        <v>318</v>
      </c>
      <c r="C359" s="21" t="s">
        <v>321</v>
      </c>
      <c r="D359" s="21" t="s">
        <v>7</v>
      </c>
      <c r="E359" s="21" t="s">
        <v>4036</v>
      </c>
      <c r="F359" s="21" t="s">
        <v>4037</v>
      </c>
      <c r="G359" s="21"/>
    </row>
    <row r="360" ht="15.75" customHeight="1">
      <c r="A360" s="20" t="s">
        <v>4038</v>
      </c>
      <c r="B360" s="21" t="s">
        <v>318</v>
      </c>
      <c r="C360" s="21" t="s">
        <v>321</v>
      </c>
      <c r="D360" s="21" t="s">
        <v>7</v>
      </c>
      <c r="E360" s="21" t="s">
        <v>4040</v>
      </c>
      <c r="F360" s="21" t="s">
        <v>4041</v>
      </c>
      <c r="G360" s="21"/>
    </row>
    <row r="361" ht="15.75" customHeight="1">
      <c r="A361" s="20" t="s">
        <v>4043</v>
      </c>
      <c r="B361" s="21" t="s">
        <v>318</v>
      </c>
      <c r="C361" s="21" t="s">
        <v>321</v>
      </c>
      <c r="D361" s="21" t="s">
        <v>7</v>
      </c>
      <c r="E361" s="21" t="s">
        <v>4046</v>
      </c>
      <c r="F361" s="21" t="s">
        <v>4047</v>
      </c>
      <c r="G361" s="21"/>
    </row>
    <row r="362" ht="15.75" customHeight="1">
      <c r="A362" s="20" t="s">
        <v>4048</v>
      </c>
      <c r="B362" s="21" t="s">
        <v>318</v>
      </c>
      <c r="C362" s="21" t="s">
        <v>321</v>
      </c>
      <c r="D362" s="21" t="s">
        <v>7</v>
      </c>
      <c r="E362" s="21" t="s">
        <v>2708</v>
      </c>
      <c r="F362" s="21" t="s">
        <v>4049</v>
      </c>
      <c r="G362" s="21"/>
    </row>
    <row r="363" ht="15.75" customHeight="1">
      <c r="A363" s="20" t="s">
        <v>4050</v>
      </c>
      <c r="B363" s="21" t="s">
        <v>318</v>
      </c>
      <c r="C363" s="21" t="s">
        <v>321</v>
      </c>
      <c r="D363" s="21" t="s">
        <v>7</v>
      </c>
      <c r="E363" s="21" t="s">
        <v>4051</v>
      </c>
      <c r="F363" s="21" t="s">
        <v>4052</v>
      </c>
      <c r="G363" s="21"/>
    </row>
    <row r="364" ht="15.75" customHeight="1">
      <c r="A364" s="20" t="s">
        <v>2703</v>
      </c>
      <c r="B364" s="21" t="s">
        <v>318</v>
      </c>
      <c r="C364" s="21" t="s">
        <v>321</v>
      </c>
      <c r="D364" s="21" t="s">
        <v>7</v>
      </c>
      <c r="E364" s="21" t="s">
        <v>2704</v>
      </c>
      <c r="F364" s="21" t="s">
        <v>4053</v>
      </c>
      <c r="G364" s="21"/>
    </row>
    <row r="365" ht="15.75" customHeight="1">
      <c r="A365" s="20" t="s">
        <v>4054</v>
      </c>
      <c r="B365" s="21" t="s">
        <v>318</v>
      </c>
      <c r="C365" s="21" t="s">
        <v>321</v>
      </c>
      <c r="D365" s="21" t="s">
        <v>7</v>
      </c>
      <c r="E365" s="21" t="s">
        <v>4055</v>
      </c>
      <c r="F365" s="21" t="s">
        <v>4056</v>
      </c>
      <c r="G365" s="21"/>
    </row>
    <row r="366" ht="15.75" customHeight="1">
      <c r="A366" s="20" t="s">
        <v>4058</v>
      </c>
      <c r="B366" s="21" t="s">
        <v>318</v>
      </c>
      <c r="C366" s="21" t="s">
        <v>321</v>
      </c>
      <c r="D366" s="21" t="s">
        <v>7</v>
      </c>
      <c r="E366" s="21" t="s">
        <v>4061</v>
      </c>
      <c r="F366" s="21" t="s">
        <v>4062</v>
      </c>
      <c r="G366" s="21"/>
    </row>
    <row r="367" ht="15.75" customHeight="1">
      <c r="A367" s="20" t="s">
        <v>4064</v>
      </c>
      <c r="B367" s="21" t="s">
        <v>318</v>
      </c>
      <c r="C367" s="21" t="s">
        <v>321</v>
      </c>
      <c r="D367" s="21" t="s">
        <v>7</v>
      </c>
      <c r="E367" s="21" t="s">
        <v>4065</v>
      </c>
      <c r="F367" s="21" t="s">
        <v>4066</v>
      </c>
      <c r="G367" s="21"/>
    </row>
    <row r="368" ht="15.75" customHeight="1">
      <c r="A368" s="20" t="s">
        <v>4067</v>
      </c>
      <c r="B368" s="21" t="s">
        <v>318</v>
      </c>
      <c r="C368" s="21" t="s">
        <v>321</v>
      </c>
      <c r="D368" s="21" t="s">
        <v>7</v>
      </c>
      <c r="E368" s="21" t="s">
        <v>4068</v>
      </c>
      <c r="F368" s="21" t="s">
        <v>4069</v>
      </c>
      <c r="G368" s="21"/>
    </row>
    <row r="369" ht="15.75" customHeight="1">
      <c r="A369" s="20" t="s">
        <v>4070</v>
      </c>
      <c r="B369" s="21" t="s">
        <v>318</v>
      </c>
      <c r="C369" s="21" t="s">
        <v>321</v>
      </c>
      <c r="D369" s="21" t="s">
        <v>7</v>
      </c>
      <c r="E369" s="21" t="s">
        <v>4071</v>
      </c>
      <c r="F369" s="21" t="s">
        <v>4072</v>
      </c>
      <c r="G369" s="21"/>
    </row>
    <row r="370" ht="15.75" customHeight="1">
      <c r="A370" s="20" t="s">
        <v>4073</v>
      </c>
      <c r="B370" s="21" t="s">
        <v>318</v>
      </c>
      <c r="C370" s="21" t="s">
        <v>321</v>
      </c>
      <c r="D370" s="21" t="s">
        <v>7</v>
      </c>
      <c r="E370" s="21" t="s">
        <v>2713</v>
      </c>
      <c r="F370" s="21" t="s">
        <v>4074</v>
      </c>
      <c r="G370" s="21"/>
    </row>
    <row r="371" ht="15.75" customHeight="1">
      <c r="A371" s="20" t="s">
        <v>4076</v>
      </c>
      <c r="B371" s="21" t="s">
        <v>318</v>
      </c>
      <c r="C371" s="21" t="s">
        <v>321</v>
      </c>
      <c r="D371" s="21" t="s">
        <v>7</v>
      </c>
      <c r="E371" s="21" t="s">
        <v>4078</v>
      </c>
      <c r="F371" s="21" t="s">
        <v>4080</v>
      </c>
      <c r="G371" s="21"/>
    </row>
    <row r="372" ht="15.75" customHeight="1">
      <c r="A372" s="20" t="s">
        <v>4082</v>
      </c>
      <c r="B372" s="21" t="s">
        <v>318</v>
      </c>
      <c r="C372" s="21" t="s">
        <v>321</v>
      </c>
      <c r="D372" s="21" t="s">
        <v>7</v>
      </c>
      <c r="E372" s="21" t="s">
        <v>4083</v>
      </c>
      <c r="F372" s="21" t="s">
        <v>4084</v>
      </c>
      <c r="G372" s="21"/>
    </row>
    <row r="373" ht="15.75" customHeight="1">
      <c r="A373" s="20" t="s">
        <v>4085</v>
      </c>
      <c r="B373" s="21" t="s">
        <v>318</v>
      </c>
      <c r="C373" s="21" t="s">
        <v>321</v>
      </c>
      <c r="D373" s="21" t="s">
        <v>7</v>
      </c>
      <c r="E373" s="21" t="s">
        <v>4086</v>
      </c>
      <c r="F373" s="21"/>
      <c r="G373" s="21"/>
    </row>
    <row r="374" ht="15.75" customHeight="1">
      <c r="A374" s="20" t="s">
        <v>4087</v>
      </c>
      <c r="B374" s="21" t="s">
        <v>318</v>
      </c>
      <c r="C374" s="21" t="s">
        <v>321</v>
      </c>
      <c r="D374" s="21" t="s">
        <v>7</v>
      </c>
      <c r="E374" s="21" t="s">
        <v>4088</v>
      </c>
      <c r="F374" s="21" t="s">
        <v>4089</v>
      </c>
      <c r="G374" s="21"/>
    </row>
    <row r="375" ht="15.75" customHeight="1">
      <c r="A375" s="20" t="s">
        <v>4090</v>
      </c>
      <c r="B375" s="21" t="s">
        <v>318</v>
      </c>
      <c r="C375" s="21" t="s">
        <v>321</v>
      </c>
      <c r="D375" s="21" t="s">
        <v>7</v>
      </c>
      <c r="E375" s="21" t="s">
        <v>4091</v>
      </c>
      <c r="F375" s="21" t="s">
        <v>4092</v>
      </c>
      <c r="G375" s="21"/>
    </row>
    <row r="376" ht="15.75" customHeight="1">
      <c r="A376" s="20" t="s">
        <v>4094</v>
      </c>
      <c r="B376" s="21" t="s">
        <v>318</v>
      </c>
      <c r="C376" s="21" t="s">
        <v>3456</v>
      </c>
      <c r="D376" s="21" t="s">
        <v>7</v>
      </c>
      <c r="E376" s="21" t="s">
        <v>4097</v>
      </c>
      <c r="F376" s="21"/>
      <c r="G376" s="21"/>
    </row>
    <row r="377" ht="15.75" customHeight="1">
      <c r="A377" s="20" t="s">
        <v>4100</v>
      </c>
      <c r="B377" s="21" t="s">
        <v>318</v>
      </c>
      <c r="C377" s="21" t="s">
        <v>321</v>
      </c>
      <c r="D377" s="21" t="s">
        <v>7</v>
      </c>
      <c r="E377" s="21" t="s">
        <v>4101</v>
      </c>
      <c r="F377" s="21" t="s">
        <v>4102</v>
      </c>
      <c r="G377" s="21"/>
    </row>
    <row r="378" ht="15.75" customHeight="1">
      <c r="A378" s="20" t="s">
        <v>4103</v>
      </c>
      <c r="B378" s="21" t="s">
        <v>318</v>
      </c>
      <c r="C378" s="21" t="s">
        <v>321</v>
      </c>
      <c r="D378" s="21" t="s">
        <v>7</v>
      </c>
      <c r="E378" s="21" t="s">
        <v>4104</v>
      </c>
      <c r="F378" s="21" t="s">
        <v>4105</v>
      </c>
      <c r="G378" s="21"/>
    </row>
    <row r="379" ht="15.75" customHeight="1">
      <c r="A379" s="20" t="s">
        <v>4106</v>
      </c>
      <c r="B379" s="21" t="s">
        <v>318</v>
      </c>
      <c r="C379" s="21" t="s">
        <v>321</v>
      </c>
      <c r="D379" s="21" t="s">
        <v>7</v>
      </c>
      <c r="E379" s="21" t="s">
        <v>4107</v>
      </c>
      <c r="F379" s="21" t="s">
        <v>4108</v>
      </c>
      <c r="G379" s="21"/>
    </row>
    <row r="380" ht="15.75" customHeight="1">
      <c r="A380" s="20" t="s">
        <v>4109</v>
      </c>
      <c r="B380" s="21" t="s">
        <v>318</v>
      </c>
      <c r="C380" s="21" t="s">
        <v>321</v>
      </c>
      <c r="D380" s="21" t="s">
        <v>7</v>
      </c>
      <c r="E380" s="21" t="s">
        <v>2671</v>
      </c>
      <c r="F380" s="21" t="s">
        <v>4110</v>
      </c>
      <c r="G380" s="21"/>
    </row>
    <row r="381" ht="15.75" customHeight="1">
      <c r="A381" s="20" t="s">
        <v>4111</v>
      </c>
      <c r="B381" s="21" t="s">
        <v>318</v>
      </c>
      <c r="C381" s="21" t="s">
        <v>321</v>
      </c>
      <c r="D381" s="21" t="s">
        <v>7</v>
      </c>
      <c r="E381" s="21" t="s">
        <v>4112</v>
      </c>
      <c r="F381" s="21" t="s">
        <v>4113</v>
      </c>
      <c r="G381" s="21"/>
    </row>
    <row r="382" ht="15.75" customHeight="1">
      <c r="A382" s="20" t="s">
        <v>4115</v>
      </c>
      <c r="B382" s="21" t="s">
        <v>318</v>
      </c>
      <c r="C382" s="21" t="s">
        <v>321</v>
      </c>
      <c r="D382" s="21" t="s">
        <v>7</v>
      </c>
      <c r="E382" s="21" t="s">
        <v>4116</v>
      </c>
      <c r="F382" s="21" t="s">
        <v>4117</v>
      </c>
      <c r="G382" s="21"/>
    </row>
    <row r="383" ht="15.75" customHeight="1">
      <c r="A383" s="20" t="s">
        <v>4120</v>
      </c>
      <c r="B383" s="21" t="s">
        <v>318</v>
      </c>
      <c r="C383" s="21" t="s">
        <v>321</v>
      </c>
      <c r="D383" s="21" t="s">
        <v>7</v>
      </c>
      <c r="E383" s="21" t="s">
        <v>4122</v>
      </c>
      <c r="F383" s="21" t="s">
        <v>4123</v>
      </c>
      <c r="G383" s="21"/>
    </row>
    <row r="384" ht="15.75" customHeight="1">
      <c r="A384" s="20" t="s">
        <v>4124</v>
      </c>
      <c r="B384" s="21" t="s">
        <v>318</v>
      </c>
      <c r="C384" s="21" t="s">
        <v>321</v>
      </c>
      <c r="D384" s="21" t="s">
        <v>7</v>
      </c>
      <c r="E384" s="21" t="s">
        <v>4125</v>
      </c>
      <c r="F384" s="21" t="s">
        <v>4126</v>
      </c>
      <c r="G384" s="21"/>
    </row>
    <row r="385" ht="15.75" customHeight="1">
      <c r="A385" s="20" t="s">
        <v>4127</v>
      </c>
      <c r="B385" s="21" t="s">
        <v>318</v>
      </c>
      <c r="C385" s="21" t="s">
        <v>321</v>
      </c>
      <c r="D385" s="21" t="s">
        <v>7</v>
      </c>
      <c r="E385" s="21" t="s">
        <v>2710</v>
      </c>
      <c r="F385" s="21" t="s">
        <v>4128</v>
      </c>
      <c r="G385" s="21"/>
    </row>
    <row r="386" ht="15.75" customHeight="1">
      <c r="A386" s="20" t="s">
        <v>4129</v>
      </c>
      <c r="B386" s="21" t="s">
        <v>318</v>
      </c>
      <c r="C386" s="21" t="s">
        <v>321</v>
      </c>
      <c r="D386" s="21" t="s">
        <v>7</v>
      </c>
      <c r="E386" s="21" t="s">
        <v>4130</v>
      </c>
      <c r="F386" s="21" t="s">
        <v>4131</v>
      </c>
      <c r="G386" s="21"/>
    </row>
    <row r="387" ht="15.75" customHeight="1">
      <c r="A387" s="20" t="s">
        <v>4132</v>
      </c>
      <c r="B387" s="21" t="s">
        <v>318</v>
      </c>
      <c r="C387" s="21" t="s">
        <v>321</v>
      </c>
      <c r="D387" s="21" t="s">
        <v>7</v>
      </c>
      <c r="E387" s="21" t="s">
        <v>4133</v>
      </c>
      <c r="F387" s="21" t="s">
        <v>4135</v>
      </c>
      <c r="G387" s="21"/>
    </row>
    <row r="388" ht="15.75" customHeight="1">
      <c r="A388" s="20" t="s">
        <v>4136</v>
      </c>
      <c r="B388" s="21" t="s">
        <v>318</v>
      </c>
      <c r="C388" s="21" t="s">
        <v>321</v>
      </c>
      <c r="D388" s="21" t="s">
        <v>7</v>
      </c>
      <c r="E388" s="21" t="s">
        <v>4139</v>
      </c>
      <c r="F388" s="21" t="s">
        <v>4140</v>
      </c>
      <c r="G388" s="21"/>
    </row>
    <row r="389" ht="15.75" customHeight="1">
      <c r="A389" s="20" t="s">
        <v>4141</v>
      </c>
      <c r="B389" s="21" t="s">
        <v>2054</v>
      </c>
      <c r="C389" s="21" t="s">
        <v>4142</v>
      </c>
      <c r="D389" s="21" t="s">
        <v>7</v>
      </c>
      <c r="E389" s="21" t="s">
        <v>4144</v>
      </c>
      <c r="F389" s="21" t="s">
        <v>2722</v>
      </c>
      <c r="G389" s="21"/>
    </row>
    <row r="390" ht="15.75" customHeight="1">
      <c r="A390" s="20" t="s">
        <v>4147</v>
      </c>
      <c r="B390" s="21" t="s">
        <v>2054</v>
      </c>
      <c r="C390" s="21" t="s">
        <v>4142</v>
      </c>
      <c r="D390" s="21" t="s">
        <v>7</v>
      </c>
      <c r="E390" s="21" t="s">
        <v>4149</v>
      </c>
      <c r="F390" s="21" t="s">
        <v>4150</v>
      </c>
      <c r="G390" s="21"/>
    </row>
    <row r="391" ht="15.75" customHeight="1">
      <c r="A391" s="20" t="s">
        <v>4151</v>
      </c>
      <c r="B391" s="21" t="s">
        <v>2054</v>
      </c>
      <c r="C391" s="21" t="s">
        <v>4142</v>
      </c>
      <c r="D391" s="21" t="s">
        <v>7</v>
      </c>
      <c r="E391" s="21" t="s">
        <v>4152</v>
      </c>
      <c r="F391" s="21" t="s">
        <v>4153</v>
      </c>
      <c r="G391" s="21"/>
    </row>
    <row r="392" ht="15.75" customHeight="1">
      <c r="A392" s="20" t="s">
        <v>4154</v>
      </c>
      <c r="B392" s="21" t="s">
        <v>2054</v>
      </c>
      <c r="C392" s="21" t="s">
        <v>4142</v>
      </c>
      <c r="D392" s="21" t="s">
        <v>7</v>
      </c>
      <c r="E392" s="21" t="s">
        <v>4155</v>
      </c>
      <c r="F392" s="21" t="s">
        <v>4156</v>
      </c>
      <c r="G392" s="21"/>
    </row>
    <row r="393" ht="15.75" customHeight="1">
      <c r="A393" s="20" t="s">
        <v>4157</v>
      </c>
      <c r="B393" s="21" t="s">
        <v>2054</v>
      </c>
      <c r="C393" s="21" t="s">
        <v>4142</v>
      </c>
      <c r="D393" s="21" t="s">
        <v>7</v>
      </c>
      <c r="E393" s="21" t="s">
        <v>4158</v>
      </c>
      <c r="F393" s="21" t="s">
        <v>4159</v>
      </c>
      <c r="G393" s="21"/>
    </row>
    <row r="394" ht="15.75" customHeight="1">
      <c r="A394" s="20" t="s">
        <v>4160</v>
      </c>
      <c r="B394" s="21" t="s">
        <v>2054</v>
      </c>
      <c r="C394" s="21" t="s">
        <v>4142</v>
      </c>
      <c r="D394" s="21" t="s">
        <v>7</v>
      </c>
      <c r="E394" s="21" t="s">
        <v>4161</v>
      </c>
      <c r="F394" s="21" t="s">
        <v>4162</v>
      </c>
      <c r="G394" s="21"/>
    </row>
    <row r="395" ht="15.75" customHeight="1">
      <c r="A395" s="20" t="s">
        <v>4164</v>
      </c>
      <c r="B395" s="21" t="s">
        <v>2054</v>
      </c>
      <c r="C395" s="21" t="s">
        <v>4142</v>
      </c>
      <c r="D395" s="21" t="s">
        <v>7</v>
      </c>
      <c r="E395" s="21" t="s">
        <v>4165</v>
      </c>
      <c r="F395" s="21" t="s">
        <v>4167</v>
      </c>
      <c r="G395" s="21"/>
    </row>
    <row r="396" ht="15.75" customHeight="1">
      <c r="A396" s="20" t="s">
        <v>4170</v>
      </c>
      <c r="B396" s="21" t="s">
        <v>4171</v>
      </c>
      <c r="C396" s="21" t="s">
        <v>377</v>
      </c>
      <c r="D396" s="21" t="s">
        <v>7</v>
      </c>
      <c r="E396" s="21" t="s">
        <v>4172</v>
      </c>
      <c r="F396" s="21" t="s">
        <v>4173</v>
      </c>
      <c r="G396" s="21"/>
    </row>
    <row r="397" ht="15.75" customHeight="1">
      <c r="A397" s="20" t="s">
        <v>4174</v>
      </c>
      <c r="B397" s="21" t="s">
        <v>78</v>
      </c>
      <c r="C397" s="21">
        <v>44830.0</v>
      </c>
      <c r="D397" s="21" t="s">
        <v>7</v>
      </c>
      <c r="E397" s="21" t="s">
        <v>4175</v>
      </c>
      <c r="F397" s="21" t="s">
        <v>4176</v>
      </c>
      <c r="G397" s="21" t="s">
        <v>2297</v>
      </c>
      <c r="H397" s="9" t="s">
        <v>4177</v>
      </c>
    </row>
    <row r="398" ht="15.75" customHeight="1">
      <c r="A398" s="20" t="s">
        <v>4178</v>
      </c>
      <c r="B398" s="21" t="s">
        <v>4179</v>
      </c>
      <c r="C398" s="21" t="s">
        <v>2897</v>
      </c>
      <c r="D398" s="21" t="s">
        <v>7</v>
      </c>
      <c r="E398" s="21" t="s">
        <v>4180</v>
      </c>
      <c r="F398" s="21" t="s">
        <v>4181</v>
      </c>
      <c r="G398" s="21"/>
    </row>
    <row r="399" ht="15.75" customHeight="1">
      <c r="A399" s="20" t="s">
        <v>4182</v>
      </c>
      <c r="B399" s="21" t="s">
        <v>4179</v>
      </c>
      <c r="C399" s="21" t="s">
        <v>2897</v>
      </c>
      <c r="D399" s="21" t="s">
        <v>7</v>
      </c>
      <c r="E399" s="21" t="s">
        <v>4184</v>
      </c>
      <c r="F399" s="21" t="s">
        <v>4185</v>
      </c>
      <c r="G399" s="21"/>
    </row>
    <row r="400" ht="15.75" customHeight="1">
      <c r="A400" s="20" t="s">
        <v>4187</v>
      </c>
      <c r="B400" s="21" t="s">
        <v>4189</v>
      </c>
      <c r="C400" s="21" t="s">
        <v>4191</v>
      </c>
      <c r="D400" s="21" t="s">
        <v>7</v>
      </c>
      <c r="E400" s="21" t="s">
        <v>4192</v>
      </c>
      <c r="F400" s="21" t="s">
        <v>4193</v>
      </c>
      <c r="G400" s="21"/>
    </row>
    <row r="401" ht="15.75" customHeight="1">
      <c r="A401" s="20" t="s">
        <v>4194</v>
      </c>
      <c r="B401" s="21" t="s">
        <v>356</v>
      </c>
      <c r="C401" s="21" t="s">
        <v>359</v>
      </c>
      <c r="D401" s="21" t="s">
        <v>7</v>
      </c>
      <c r="E401" s="21" t="s">
        <v>4195</v>
      </c>
      <c r="F401" s="21" t="s">
        <v>4196</v>
      </c>
      <c r="G401" s="21"/>
    </row>
    <row r="402" ht="15.75" customHeight="1">
      <c r="A402" s="20" t="s">
        <v>4197</v>
      </c>
      <c r="B402" s="21" t="s">
        <v>356</v>
      </c>
      <c r="C402" s="21" t="s">
        <v>359</v>
      </c>
      <c r="D402" s="21" t="s">
        <v>7</v>
      </c>
      <c r="E402" s="21" t="s">
        <v>4198</v>
      </c>
      <c r="F402" s="21" t="s">
        <v>4199</v>
      </c>
      <c r="G402" s="21"/>
    </row>
    <row r="403" ht="15.75" customHeight="1">
      <c r="A403" s="20" t="s">
        <v>4200</v>
      </c>
      <c r="B403" s="21" t="s">
        <v>356</v>
      </c>
      <c r="C403" s="21" t="s">
        <v>359</v>
      </c>
      <c r="D403" s="21" t="s">
        <v>7</v>
      </c>
      <c r="E403" s="21" t="s">
        <v>4201</v>
      </c>
      <c r="F403" s="21" t="s">
        <v>4202</v>
      </c>
      <c r="G403" s="21"/>
    </row>
    <row r="404" ht="15.75" customHeight="1">
      <c r="A404" s="20" t="s">
        <v>4203</v>
      </c>
      <c r="B404" s="21" t="s">
        <v>251</v>
      </c>
      <c r="C404" s="21" t="s">
        <v>252</v>
      </c>
      <c r="D404" s="21" t="s">
        <v>7</v>
      </c>
      <c r="E404" s="21" t="s">
        <v>4204</v>
      </c>
      <c r="F404" s="21" t="s">
        <v>4206</v>
      </c>
      <c r="G404" s="21"/>
    </row>
    <row r="405" ht="15.75" customHeight="1">
      <c r="A405" s="20" t="s">
        <v>4207</v>
      </c>
      <c r="B405" s="21" t="s">
        <v>251</v>
      </c>
      <c r="C405" s="21" t="s">
        <v>252</v>
      </c>
      <c r="D405" s="21" t="s">
        <v>7</v>
      </c>
      <c r="E405" s="21" t="s">
        <v>4211</v>
      </c>
      <c r="F405" s="21" t="s">
        <v>4212</v>
      </c>
      <c r="G405" s="21"/>
    </row>
    <row r="406" ht="15.75" customHeight="1">
      <c r="A406" s="20" t="s">
        <v>4213</v>
      </c>
      <c r="B406" s="21" t="s">
        <v>1052</v>
      </c>
      <c r="C406" s="21" t="s">
        <v>2620</v>
      </c>
      <c r="D406" s="21" t="s">
        <v>7</v>
      </c>
      <c r="E406" s="21" t="s">
        <v>2729</v>
      </c>
      <c r="F406" s="21" t="s">
        <v>2730</v>
      </c>
      <c r="G406" s="21"/>
    </row>
    <row r="407" ht="15.75" customHeight="1">
      <c r="A407" s="20" t="s">
        <v>4214</v>
      </c>
      <c r="B407" s="21" t="s">
        <v>1052</v>
      </c>
      <c r="C407" s="21" t="s">
        <v>2620</v>
      </c>
      <c r="D407" s="21" t="s">
        <v>7</v>
      </c>
      <c r="E407" s="21" t="s">
        <v>4215</v>
      </c>
      <c r="F407" s="21" t="s">
        <v>4216</v>
      </c>
      <c r="G407" s="21"/>
    </row>
    <row r="408" ht="15.75" customHeight="1">
      <c r="A408" s="20" t="s">
        <v>4217</v>
      </c>
      <c r="B408" s="21" t="s">
        <v>4218</v>
      </c>
      <c r="C408" s="21" t="s">
        <v>541</v>
      </c>
      <c r="D408" s="21" t="s">
        <v>7</v>
      </c>
      <c r="E408" s="21" t="s">
        <v>4219</v>
      </c>
      <c r="F408" s="21"/>
      <c r="G408" s="21"/>
    </row>
    <row r="409" ht="15.75" customHeight="1">
      <c r="A409" s="20" t="s">
        <v>4220</v>
      </c>
      <c r="B409" s="21" t="s">
        <v>4218</v>
      </c>
      <c r="C409" s="21" t="s">
        <v>541</v>
      </c>
      <c r="D409" s="21" t="s">
        <v>7</v>
      </c>
      <c r="E409" s="21" t="s">
        <v>4221</v>
      </c>
      <c r="F409" s="21"/>
      <c r="G409" s="21"/>
    </row>
    <row r="410" ht="15.75" customHeight="1">
      <c r="A410" s="20" t="s">
        <v>4224</v>
      </c>
      <c r="B410" s="21" t="s">
        <v>4225</v>
      </c>
      <c r="C410" s="21" t="s">
        <v>3785</v>
      </c>
      <c r="D410" s="21" t="s">
        <v>7</v>
      </c>
      <c r="E410" s="21" t="s">
        <v>4228</v>
      </c>
      <c r="F410" s="21" t="s">
        <v>4230</v>
      </c>
      <c r="G410" s="21"/>
    </row>
    <row r="411" ht="15.75" customHeight="1">
      <c r="A411" s="20" t="s">
        <v>4231</v>
      </c>
      <c r="B411" s="21" t="s">
        <v>2033</v>
      </c>
      <c r="C411" s="21" t="s">
        <v>2734</v>
      </c>
      <c r="D411" s="21" t="s">
        <v>7</v>
      </c>
      <c r="E411" s="21" t="s">
        <v>4232</v>
      </c>
      <c r="F411" s="21" t="s">
        <v>4233</v>
      </c>
      <c r="G411" s="21"/>
    </row>
    <row r="412" ht="15.75" customHeight="1">
      <c r="A412" s="20" t="s">
        <v>4234</v>
      </c>
      <c r="B412" s="21" t="s">
        <v>2033</v>
      </c>
      <c r="C412" s="21" t="s">
        <v>2734</v>
      </c>
      <c r="D412" s="21" t="s">
        <v>7</v>
      </c>
      <c r="E412" s="21" t="s">
        <v>4235</v>
      </c>
      <c r="F412" s="21" t="s">
        <v>4236</v>
      </c>
      <c r="G412" s="21"/>
    </row>
    <row r="413" ht="15.75" customHeight="1">
      <c r="A413" s="20" t="s">
        <v>4237</v>
      </c>
      <c r="B413" s="21" t="s">
        <v>2033</v>
      </c>
      <c r="C413" s="21" t="s">
        <v>2734</v>
      </c>
      <c r="D413" s="21" t="s">
        <v>7</v>
      </c>
      <c r="E413" s="21" t="s">
        <v>4238</v>
      </c>
      <c r="F413" s="21" t="s">
        <v>4239</v>
      </c>
      <c r="G413" s="21"/>
    </row>
    <row r="414" ht="15.75" customHeight="1">
      <c r="A414" s="20" t="s">
        <v>4240</v>
      </c>
      <c r="B414" s="21" t="s">
        <v>2033</v>
      </c>
      <c r="C414" s="21" t="s">
        <v>2734</v>
      </c>
      <c r="D414" s="21" t="s">
        <v>7</v>
      </c>
      <c r="E414" s="21" t="s">
        <v>4241</v>
      </c>
      <c r="F414" s="21" t="s">
        <v>4242</v>
      </c>
      <c r="G414" s="21"/>
    </row>
    <row r="415" ht="15.75" customHeight="1">
      <c r="A415" s="20" t="s">
        <v>4243</v>
      </c>
      <c r="B415" s="21" t="s">
        <v>2033</v>
      </c>
      <c r="C415" s="21" t="s">
        <v>2734</v>
      </c>
      <c r="D415" s="21" t="s">
        <v>7</v>
      </c>
      <c r="E415" s="21" t="s">
        <v>4244</v>
      </c>
      <c r="F415" s="21" t="s">
        <v>4245</v>
      </c>
      <c r="G415" s="21"/>
    </row>
    <row r="416" ht="15.75" customHeight="1">
      <c r="A416" s="20" t="s">
        <v>4248</v>
      </c>
      <c r="B416" s="21" t="s">
        <v>2033</v>
      </c>
      <c r="C416" s="21" t="s">
        <v>2734</v>
      </c>
      <c r="D416" s="21" t="s">
        <v>7</v>
      </c>
      <c r="E416" s="21" t="s">
        <v>4250</v>
      </c>
      <c r="F416" s="21"/>
      <c r="G416" s="21"/>
    </row>
    <row r="417" ht="15.75" customHeight="1">
      <c r="A417" s="20" t="s">
        <v>4251</v>
      </c>
      <c r="B417" s="21" t="s">
        <v>2033</v>
      </c>
      <c r="C417" s="21" t="s">
        <v>2734</v>
      </c>
      <c r="D417" s="21" t="s">
        <v>7</v>
      </c>
      <c r="E417" s="21" t="s">
        <v>4252</v>
      </c>
      <c r="F417" s="21" t="s">
        <v>4253</v>
      </c>
      <c r="G417" s="21"/>
    </row>
    <row r="418" ht="15.75" customHeight="1">
      <c r="A418" s="20" t="s">
        <v>4254</v>
      </c>
      <c r="B418" s="21" t="s">
        <v>2033</v>
      </c>
      <c r="C418" s="21" t="s">
        <v>2734</v>
      </c>
      <c r="D418" s="21" t="s">
        <v>7</v>
      </c>
      <c r="E418" s="21" t="s">
        <v>4255</v>
      </c>
      <c r="F418" s="21" t="s">
        <v>4256</v>
      </c>
      <c r="G418" s="21"/>
    </row>
    <row r="419" ht="15.75" customHeight="1">
      <c r="A419" s="20" t="s">
        <v>4257</v>
      </c>
      <c r="B419" s="21" t="s">
        <v>2739</v>
      </c>
      <c r="C419" s="21" t="s">
        <v>301</v>
      </c>
      <c r="D419" s="21" t="s">
        <v>7</v>
      </c>
      <c r="E419" s="21" t="s">
        <v>4258</v>
      </c>
      <c r="F419" s="21"/>
      <c r="G419" s="21"/>
    </row>
    <row r="420" ht="15.75" customHeight="1">
      <c r="A420" s="20" t="s">
        <v>4259</v>
      </c>
      <c r="B420" s="21" t="s">
        <v>2739</v>
      </c>
      <c r="C420" s="21" t="s">
        <v>301</v>
      </c>
      <c r="D420" s="21" t="s">
        <v>7</v>
      </c>
      <c r="E420" s="21" t="s">
        <v>4260</v>
      </c>
      <c r="F420" s="21" t="s">
        <v>4261</v>
      </c>
      <c r="G420" s="21"/>
    </row>
    <row r="421" ht="15.75" customHeight="1">
      <c r="A421" s="20" t="s">
        <v>4262</v>
      </c>
      <c r="B421" s="21" t="s">
        <v>2739</v>
      </c>
      <c r="C421" s="21" t="s">
        <v>301</v>
      </c>
      <c r="D421" s="21" t="s">
        <v>7</v>
      </c>
      <c r="E421" s="21" t="s">
        <v>4263</v>
      </c>
      <c r="F421" s="21"/>
      <c r="G421" s="21"/>
    </row>
    <row r="422" ht="15.75" customHeight="1">
      <c r="A422" s="20" t="s">
        <v>4264</v>
      </c>
      <c r="B422" s="21" t="s">
        <v>2739</v>
      </c>
      <c r="C422" s="21" t="s">
        <v>301</v>
      </c>
      <c r="D422" s="21" t="s">
        <v>7</v>
      </c>
      <c r="E422" s="21" t="s">
        <v>4265</v>
      </c>
      <c r="F422" s="21" t="s">
        <v>4266</v>
      </c>
      <c r="G422" s="21"/>
    </row>
    <row r="423" ht="15.75" customHeight="1">
      <c r="A423" s="20" t="s">
        <v>4267</v>
      </c>
      <c r="B423" s="21" t="s">
        <v>2739</v>
      </c>
      <c r="C423" s="21" t="s">
        <v>301</v>
      </c>
      <c r="D423" s="21" t="s">
        <v>7</v>
      </c>
      <c r="E423" s="21" t="s">
        <v>4269</v>
      </c>
      <c r="F423" s="21" t="s">
        <v>4270</v>
      </c>
      <c r="G423" s="21"/>
    </row>
    <row r="424" ht="15.75" customHeight="1">
      <c r="A424" s="20" t="s">
        <v>4272</v>
      </c>
      <c r="B424" s="21" t="s">
        <v>2739</v>
      </c>
      <c r="C424" s="21" t="s">
        <v>301</v>
      </c>
      <c r="D424" s="21" t="s">
        <v>7</v>
      </c>
      <c r="E424" s="21" t="s">
        <v>4275</v>
      </c>
      <c r="F424" s="21" t="s">
        <v>4276</v>
      </c>
      <c r="G424" s="21"/>
    </row>
    <row r="425" ht="15.75" customHeight="1">
      <c r="A425" s="20" t="s">
        <v>4277</v>
      </c>
      <c r="B425" s="21" t="s">
        <v>2739</v>
      </c>
      <c r="C425" s="21" t="s">
        <v>301</v>
      </c>
      <c r="D425" s="21" t="s">
        <v>7</v>
      </c>
      <c r="E425" s="21" t="s">
        <v>4278</v>
      </c>
      <c r="F425" s="21" t="s">
        <v>4279</v>
      </c>
      <c r="G425" s="21"/>
    </row>
    <row r="426" ht="15.75" customHeight="1">
      <c r="A426" s="20" t="s">
        <v>4280</v>
      </c>
      <c r="B426" s="21" t="s">
        <v>2739</v>
      </c>
      <c r="C426" s="21" t="s">
        <v>301</v>
      </c>
      <c r="D426" s="21" t="s">
        <v>7</v>
      </c>
      <c r="E426" s="21" t="s">
        <v>4281</v>
      </c>
      <c r="F426" s="21" t="s">
        <v>4282</v>
      </c>
      <c r="G426" s="21"/>
    </row>
    <row r="427" ht="15.75" customHeight="1">
      <c r="A427" s="20" t="s">
        <v>4283</v>
      </c>
      <c r="B427" s="21" t="s">
        <v>2739</v>
      </c>
      <c r="C427" s="21" t="s">
        <v>301</v>
      </c>
      <c r="D427" s="21" t="s">
        <v>7</v>
      </c>
      <c r="E427" s="21" t="s">
        <v>4284</v>
      </c>
      <c r="F427" s="21" t="s">
        <v>4285</v>
      </c>
      <c r="G427" s="21"/>
    </row>
    <row r="428" ht="15.75" customHeight="1">
      <c r="A428" s="20" t="s">
        <v>2742</v>
      </c>
      <c r="B428" s="21" t="s">
        <v>2739</v>
      </c>
      <c r="C428" s="21" t="s">
        <v>301</v>
      </c>
      <c r="D428" s="21" t="s">
        <v>7</v>
      </c>
      <c r="E428" s="21" t="s">
        <v>2743</v>
      </c>
      <c r="F428" s="21" t="s">
        <v>2744</v>
      </c>
      <c r="G428" s="21"/>
    </row>
    <row r="429" ht="15.75" customHeight="1">
      <c r="A429" s="20" t="s">
        <v>4286</v>
      </c>
      <c r="B429" s="21" t="s">
        <v>2739</v>
      </c>
      <c r="C429" s="21" t="s">
        <v>301</v>
      </c>
      <c r="D429" s="21" t="s">
        <v>7</v>
      </c>
      <c r="E429" s="21" t="s">
        <v>4287</v>
      </c>
      <c r="F429" s="21" t="s">
        <v>4288</v>
      </c>
      <c r="G429" s="21"/>
    </row>
    <row r="430" ht="15.75" customHeight="1">
      <c r="A430" s="20" t="s">
        <v>4289</v>
      </c>
      <c r="B430" s="21" t="s">
        <v>2739</v>
      </c>
      <c r="C430" s="21" t="s">
        <v>301</v>
      </c>
      <c r="D430" s="21" t="s">
        <v>7</v>
      </c>
      <c r="E430" s="21" t="s">
        <v>4290</v>
      </c>
      <c r="F430" s="21" t="s">
        <v>4291</v>
      </c>
      <c r="G430" s="21"/>
    </row>
    <row r="431" ht="15.75" customHeight="1">
      <c r="A431" s="20" t="s">
        <v>4292</v>
      </c>
      <c r="B431" s="21" t="s">
        <v>2739</v>
      </c>
      <c r="C431" s="21" t="s">
        <v>301</v>
      </c>
      <c r="D431" s="21" t="s">
        <v>7</v>
      </c>
      <c r="E431" s="21" t="s">
        <v>4294</v>
      </c>
      <c r="F431" s="21" t="s">
        <v>4295</v>
      </c>
      <c r="G431" s="21"/>
    </row>
    <row r="432" ht="15.75" customHeight="1">
      <c r="A432" s="20" t="s">
        <v>4297</v>
      </c>
      <c r="B432" s="21" t="s">
        <v>2739</v>
      </c>
      <c r="C432" s="21" t="s">
        <v>301</v>
      </c>
      <c r="D432" s="21" t="s">
        <v>7</v>
      </c>
      <c r="E432" s="21" t="s">
        <v>4299</v>
      </c>
      <c r="F432" s="21" t="s">
        <v>4301</v>
      </c>
      <c r="G432" s="21"/>
    </row>
    <row r="433" ht="15.75" customHeight="1">
      <c r="A433" s="20" t="s">
        <v>4302</v>
      </c>
      <c r="B433" s="21" t="s">
        <v>2739</v>
      </c>
      <c r="C433" s="21" t="s">
        <v>301</v>
      </c>
      <c r="D433" s="21" t="s">
        <v>7</v>
      </c>
      <c r="E433" s="21" t="s">
        <v>4303</v>
      </c>
      <c r="F433" s="21" t="s">
        <v>4304</v>
      </c>
      <c r="G433" s="21"/>
    </row>
    <row r="434" ht="15.75" customHeight="1">
      <c r="A434" s="20" t="s">
        <v>4305</v>
      </c>
      <c r="B434" s="21" t="s">
        <v>4306</v>
      </c>
      <c r="C434" s="21" t="s">
        <v>3338</v>
      </c>
      <c r="D434" s="21" t="s">
        <v>7</v>
      </c>
      <c r="E434" s="21" t="s">
        <v>4307</v>
      </c>
      <c r="F434" s="21" t="s">
        <v>4308</v>
      </c>
      <c r="G434" s="21"/>
    </row>
    <row r="435" ht="15.75" customHeight="1">
      <c r="A435" s="20" t="s">
        <v>4309</v>
      </c>
      <c r="B435" s="21" t="s">
        <v>4306</v>
      </c>
      <c r="C435" s="21" t="s">
        <v>3338</v>
      </c>
      <c r="D435" s="21" t="s">
        <v>7</v>
      </c>
      <c r="E435" s="21" t="s">
        <v>4310</v>
      </c>
      <c r="F435" s="21" t="s">
        <v>4311</v>
      </c>
      <c r="G435" s="21"/>
    </row>
    <row r="436" ht="15.75" customHeight="1">
      <c r="A436" s="20" t="s">
        <v>4312</v>
      </c>
      <c r="B436" s="21" t="s">
        <v>4306</v>
      </c>
      <c r="C436" s="21" t="s">
        <v>3338</v>
      </c>
      <c r="D436" s="21" t="s">
        <v>7</v>
      </c>
      <c r="E436" s="21" t="s">
        <v>4313</v>
      </c>
      <c r="F436" s="21" t="s">
        <v>4314</v>
      </c>
      <c r="G436" s="21"/>
    </row>
    <row r="437" ht="15.75" customHeight="1">
      <c r="A437" s="20" t="s">
        <v>4315</v>
      </c>
      <c r="B437" s="21" t="s">
        <v>203</v>
      </c>
      <c r="C437" s="21" t="s">
        <v>4316</v>
      </c>
      <c r="D437" s="21" t="s">
        <v>7</v>
      </c>
      <c r="E437" s="21" t="s">
        <v>4317</v>
      </c>
      <c r="F437" s="21" t="s">
        <v>4318</v>
      </c>
      <c r="G437" s="21"/>
    </row>
    <row r="438" ht="15.75" customHeight="1">
      <c r="A438" s="20" t="s">
        <v>3059</v>
      </c>
      <c r="B438" s="21" t="s">
        <v>266</v>
      </c>
      <c r="C438" s="21" t="s">
        <v>267</v>
      </c>
      <c r="D438" s="21" t="s">
        <v>7</v>
      </c>
      <c r="E438" s="21" t="s">
        <v>4321</v>
      </c>
      <c r="F438" s="21" t="s">
        <v>4323</v>
      </c>
      <c r="G438" s="21"/>
    </row>
    <row r="439" ht="15.75" customHeight="1">
      <c r="A439" s="20" t="s">
        <v>4324</v>
      </c>
      <c r="B439" s="21" t="s">
        <v>266</v>
      </c>
      <c r="C439" s="21" t="s">
        <v>267</v>
      </c>
      <c r="D439" s="21" t="s">
        <v>7</v>
      </c>
      <c r="E439" s="21" t="s">
        <v>4325</v>
      </c>
      <c r="F439" s="21" t="s">
        <v>4326</v>
      </c>
      <c r="G439" s="21"/>
    </row>
    <row r="440" ht="15.75" customHeight="1">
      <c r="A440" s="20" t="s">
        <v>4327</v>
      </c>
      <c r="B440" s="21" t="s">
        <v>266</v>
      </c>
      <c r="C440" s="21" t="s">
        <v>267</v>
      </c>
      <c r="D440" s="21" t="s">
        <v>7</v>
      </c>
      <c r="E440" s="21" t="s">
        <v>4328</v>
      </c>
      <c r="F440" s="21" t="s">
        <v>4329</v>
      </c>
      <c r="G440" s="21"/>
    </row>
    <row r="441" ht="15.75" customHeight="1">
      <c r="A441" s="20" t="s">
        <v>4330</v>
      </c>
      <c r="B441" s="21" t="s">
        <v>266</v>
      </c>
      <c r="C441" s="21" t="s">
        <v>267</v>
      </c>
      <c r="D441" s="21" t="s">
        <v>7</v>
      </c>
      <c r="E441" s="21" t="s">
        <v>4331</v>
      </c>
      <c r="F441" s="21" t="s">
        <v>4332</v>
      </c>
      <c r="G441" s="21"/>
    </row>
    <row r="442" ht="15.75" customHeight="1">
      <c r="A442" s="20" t="s">
        <v>4333</v>
      </c>
      <c r="B442" s="21" t="s">
        <v>266</v>
      </c>
      <c r="C442" s="21" t="s">
        <v>267</v>
      </c>
      <c r="D442" s="21" t="s">
        <v>7</v>
      </c>
      <c r="E442" s="21" t="s">
        <v>4334</v>
      </c>
      <c r="F442" s="21" t="s">
        <v>4335</v>
      </c>
      <c r="G442" s="21"/>
    </row>
    <row r="443" ht="15.75" customHeight="1">
      <c r="A443" s="20" t="s">
        <v>4337</v>
      </c>
      <c r="B443" s="21" t="s">
        <v>266</v>
      </c>
      <c r="C443" s="21" t="s">
        <v>267</v>
      </c>
      <c r="D443" s="21" t="s">
        <v>7</v>
      </c>
      <c r="E443" s="21" t="s">
        <v>4338</v>
      </c>
      <c r="F443" s="21" t="s">
        <v>4340</v>
      </c>
      <c r="G443" s="21"/>
    </row>
    <row r="444" ht="15.75" customHeight="1">
      <c r="A444" s="20" t="s">
        <v>4342</v>
      </c>
      <c r="B444" s="21" t="s">
        <v>266</v>
      </c>
      <c r="C444" s="21" t="s">
        <v>267</v>
      </c>
      <c r="D444" s="21" t="s">
        <v>7</v>
      </c>
      <c r="E444" s="21" t="s">
        <v>4344</v>
      </c>
      <c r="F444" s="21" t="s">
        <v>4345</v>
      </c>
      <c r="G444" s="21"/>
    </row>
    <row r="445" ht="15.75" customHeight="1">
      <c r="A445" s="20" t="s">
        <v>4346</v>
      </c>
      <c r="B445" s="21" t="s">
        <v>266</v>
      </c>
      <c r="C445" s="21" t="s">
        <v>267</v>
      </c>
      <c r="D445" s="21" t="s">
        <v>7</v>
      </c>
      <c r="E445" s="21" t="s">
        <v>2750</v>
      </c>
      <c r="F445" s="21" t="s">
        <v>4347</v>
      </c>
      <c r="G445" s="21"/>
    </row>
    <row r="446" ht="15.75" customHeight="1">
      <c r="A446" s="20" t="s">
        <v>4348</v>
      </c>
      <c r="B446" s="21" t="s">
        <v>4349</v>
      </c>
      <c r="C446" s="21" t="s">
        <v>425</v>
      </c>
      <c r="D446" s="21" t="s">
        <v>7</v>
      </c>
      <c r="E446" s="21" t="s">
        <v>4350</v>
      </c>
      <c r="F446" s="21" t="s">
        <v>4351</v>
      </c>
      <c r="G446" s="21"/>
    </row>
    <row r="447" ht="15.75" customHeight="1">
      <c r="A447" s="20" t="s">
        <v>4352</v>
      </c>
      <c r="B447" s="21" t="s">
        <v>4349</v>
      </c>
      <c r="C447" s="21" t="s">
        <v>425</v>
      </c>
      <c r="D447" s="21" t="s">
        <v>7</v>
      </c>
      <c r="E447" s="21" t="s">
        <v>4353</v>
      </c>
      <c r="F447" s="21" t="s">
        <v>4354</v>
      </c>
      <c r="G447" s="21"/>
    </row>
    <row r="448" ht="15.75" customHeight="1">
      <c r="A448" s="20" t="s">
        <v>4355</v>
      </c>
      <c r="B448" s="21" t="s">
        <v>386</v>
      </c>
      <c r="C448" s="21" t="s">
        <v>388</v>
      </c>
      <c r="D448" s="21" t="s">
        <v>7</v>
      </c>
      <c r="E448" s="21" t="s">
        <v>2789</v>
      </c>
      <c r="F448" s="21" t="s">
        <v>4357</v>
      </c>
      <c r="G448" s="21"/>
    </row>
    <row r="449" ht="15.75" customHeight="1">
      <c r="A449" s="20" t="s">
        <v>4358</v>
      </c>
      <c r="B449" s="21" t="s">
        <v>386</v>
      </c>
      <c r="C449" s="21" t="s">
        <v>388</v>
      </c>
      <c r="D449" s="21" t="s">
        <v>7</v>
      </c>
      <c r="E449" s="21" t="s">
        <v>4359</v>
      </c>
      <c r="F449" s="21"/>
      <c r="G449" s="21"/>
    </row>
    <row r="450" ht="15.75" customHeight="1">
      <c r="A450" s="20" t="s">
        <v>4360</v>
      </c>
      <c r="B450" s="21" t="s">
        <v>386</v>
      </c>
      <c r="C450" s="21" t="s">
        <v>388</v>
      </c>
      <c r="D450" s="21" t="s">
        <v>7</v>
      </c>
      <c r="E450" s="21" t="s">
        <v>4362</v>
      </c>
      <c r="F450" s="21" t="s">
        <v>4363</v>
      </c>
      <c r="G450" s="21"/>
    </row>
    <row r="451" ht="15.75" customHeight="1">
      <c r="A451" s="20" t="s">
        <v>4364</v>
      </c>
      <c r="B451" s="21" t="s">
        <v>386</v>
      </c>
      <c r="C451" s="21" t="s">
        <v>388</v>
      </c>
      <c r="D451" s="21" t="s">
        <v>7</v>
      </c>
      <c r="E451" s="21" t="s">
        <v>4367</v>
      </c>
      <c r="F451" s="21" t="s">
        <v>4368</v>
      </c>
      <c r="G451" s="21"/>
    </row>
    <row r="452" ht="15.75" customHeight="1">
      <c r="A452" s="20" t="s">
        <v>4370</v>
      </c>
      <c r="B452" s="21" t="s">
        <v>386</v>
      </c>
      <c r="C452" s="21" t="s">
        <v>388</v>
      </c>
      <c r="D452" s="21" t="s">
        <v>7</v>
      </c>
      <c r="E452" s="21" t="s">
        <v>4371</v>
      </c>
      <c r="F452" s="21" t="s">
        <v>4372</v>
      </c>
      <c r="G452" s="21"/>
    </row>
    <row r="453" ht="15.75" customHeight="1">
      <c r="A453" s="20" t="s">
        <v>4373</v>
      </c>
      <c r="B453" s="21" t="s">
        <v>386</v>
      </c>
      <c r="C453" s="21" t="s">
        <v>388</v>
      </c>
      <c r="D453" s="21" t="s">
        <v>7</v>
      </c>
      <c r="E453" s="21" t="s">
        <v>4374</v>
      </c>
      <c r="F453" s="21" t="s">
        <v>4375</v>
      </c>
      <c r="G453" s="21"/>
    </row>
    <row r="454" ht="15.75" customHeight="1">
      <c r="A454" s="20" t="s">
        <v>4376</v>
      </c>
      <c r="B454" s="21" t="s">
        <v>386</v>
      </c>
      <c r="C454" s="21" t="s">
        <v>388</v>
      </c>
      <c r="D454" s="21" t="s">
        <v>7</v>
      </c>
      <c r="E454" s="21" t="s">
        <v>4377</v>
      </c>
      <c r="F454" s="21" t="s">
        <v>4378</v>
      </c>
      <c r="G454" s="21"/>
    </row>
    <row r="455" ht="15.75" customHeight="1">
      <c r="A455" s="20" t="s">
        <v>4379</v>
      </c>
      <c r="B455" s="21" t="s">
        <v>386</v>
      </c>
      <c r="C455" s="21" t="s">
        <v>388</v>
      </c>
      <c r="D455" s="21" t="s">
        <v>7</v>
      </c>
      <c r="E455" s="21" t="s">
        <v>4380</v>
      </c>
      <c r="F455" s="21"/>
      <c r="G455" s="21"/>
    </row>
    <row r="456" ht="15.75" customHeight="1">
      <c r="A456" s="20" t="s">
        <v>4381</v>
      </c>
      <c r="B456" s="21" t="s">
        <v>386</v>
      </c>
      <c r="C456" s="21" t="s">
        <v>388</v>
      </c>
      <c r="D456" s="21" t="s">
        <v>7</v>
      </c>
      <c r="E456" s="21" t="s">
        <v>4382</v>
      </c>
      <c r="F456" s="21" t="s">
        <v>4383</v>
      </c>
      <c r="G456" s="21"/>
    </row>
    <row r="457" ht="15.75" customHeight="1">
      <c r="A457" s="20" t="s">
        <v>4384</v>
      </c>
      <c r="B457" s="21" t="s">
        <v>386</v>
      </c>
      <c r="C457" s="21" t="s">
        <v>388</v>
      </c>
      <c r="D457" s="21" t="s">
        <v>7</v>
      </c>
      <c r="E457" s="21" t="s">
        <v>4385</v>
      </c>
      <c r="F457" s="21" t="s">
        <v>4386</v>
      </c>
      <c r="G457" s="21"/>
    </row>
    <row r="458" ht="15.75" customHeight="1">
      <c r="A458" s="20" t="s">
        <v>4388</v>
      </c>
      <c r="B458" s="21" t="s">
        <v>386</v>
      </c>
      <c r="C458" s="21" t="s">
        <v>388</v>
      </c>
      <c r="D458" s="21" t="s">
        <v>7</v>
      </c>
      <c r="E458" s="21" t="s">
        <v>4390</v>
      </c>
      <c r="F458" s="21" t="s">
        <v>4392</v>
      </c>
      <c r="G458" s="21"/>
    </row>
    <row r="459" ht="15.75" customHeight="1">
      <c r="A459" s="20" t="s">
        <v>4395</v>
      </c>
      <c r="B459" s="21" t="s">
        <v>386</v>
      </c>
      <c r="C459" s="21" t="s">
        <v>388</v>
      </c>
      <c r="D459" s="21" t="s">
        <v>7</v>
      </c>
      <c r="E459" s="21" t="s">
        <v>4396</v>
      </c>
      <c r="F459" s="21" t="s">
        <v>4397</v>
      </c>
      <c r="G459" s="21"/>
    </row>
    <row r="460" ht="15.75" customHeight="1">
      <c r="A460" s="20" t="s">
        <v>4398</v>
      </c>
      <c r="B460" s="21" t="s">
        <v>386</v>
      </c>
      <c r="C460" s="21" t="s">
        <v>388</v>
      </c>
      <c r="D460" s="21" t="s">
        <v>7</v>
      </c>
      <c r="E460" s="21" t="s">
        <v>4399</v>
      </c>
      <c r="F460" s="21" t="s">
        <v>4400</v>
      </c>
      <c r="G460" s="21"/>
    </row>
    <row r="461" ht="15.75" customHeight="1">
      <c r="A461" s="20" t="s">
        <v>4401</v>
      </c>
      <c r="B461" s="21" t="s">
        <v>386</v>
      </c>
      <c r="C461" s="21" t="s">
        <v>388</v>
      </c>
      <c r="D461" s="21" t="s">
        <v>7</v>
      </c>
      <c r="E461" s="21" t="s">
        <v>4402</v>
      </c>
      <c r="F461" s="21" t="s">
        <v>4403</v>
      </c>
      <c r="G461" s="21"/>
    </row>
    <row r="462" ht="15.75" customHeight="1">
      <c r="A462" s="20" t="s">
        <v>4404</v>
      </c>
      <c r="B462" s="21" t="s">
        <v>386</v>
      </c>
      <c r="C462" s="21" t="s">
        <v>388</v>
      </c>
      <c r="D462" s="21" t="s">
        <v>7</v>
      </c>
      <c r="E462" s="21" t="s">
        <v>4405</v>
      </c>
      <c r="F462" s="21" t="s">
        <v>4406</v>
      </c>
      <c r="G462" s="21"/>
    </row>
    <row r="463" ht="15.75" customHeight="1">
      <c r="A463" s="20" t="s">
        <v>4407</v>
      </c>
      <c r="B463" s="21" t="s">
        <v>386</v>
      </c>
      <c r="C463" s="21" t="s">
        <v>388</v>
      </c>
      <c r="D463" s="21" t="s">
        <v>7</v>
      </c>
      <c r="E463" s="21" t="s">
        <v>4410</v>
      </c>
      <c r="F463" s="21" t="s">
        <v>4411</v>
      </c>
      <c r="G463" s="21"/>
    </row>
    <row r="464" ht="15.75" customHeight="1">
      <c r="A464" s="20" t="s">
        <v>4412</v>
      </c>
      <c r="B464" s="21" t="s">
        <v>386</v>
      </c>
      <c r="C464" s="21" t="s">
        <v>388</v>
      </c>
      <c r="D464" s="21" t="s">
        <v>7</v>
      </c>
      <c r="E464" s="21" t="s">
        <v>4414</v>
      </c>
      <c r="F464" s="21" t="s">
        <v>4415</v>
      </c>
      <c r="G464" s="21"/>
    </row>
    <row r="465" ht="15.75" customHeight="1">
      <c r="A465" s="20" t="s">
        <v>4416</v>
      </c>
      <c r="B465" s="21" t="s">
        <v>4418</v>
      </c>
      <c r="C465" s="21" t="s">
        <v>401</v>
      </c>
      <c r="D465" s="21" t="s">
        <v>7</v>
      </c>
      <c r="E465" s="21" t="s">
        <v>4420</v>
      </c>
      <c r="F465" s="21" t="s">
        <v>4421</v>
      </c>
      <c r="G465" s="21"/>
    </row>
    <row r="466" ht="15.75" customHeight="1">
      <c r="A466" s="20" t="s">
        <v>4422</v>
      </c>
      <c r="B466" s="21" t="s">
        <v>4418</v>
      </c>
      <c r="C466" s="21" t="s">
        <v>401</v>
      </c>
      <c r="D466" s="21" t="s">
        <v>7</v>
      </c>
      <c r="E466" s="21" t="s">
        <v>4423</v>
      </c>
      <c r="F466" s="21" t="s">
        <v>4424</v>
      </c>
      <c r="G466" s="21"/>
    </row>
    <row r="467" ht="15.75" customHeight="1">
      <c r="A467" s="20" t="s">
        <v>4425</v>
      </c>
      <c r="B467" s="21" t="s">
        <v>4426</v>
      </c>
      <c r="C467" s="21" t="s">
        <v>4142</v>
      </c>
      <c r="D467" s="21" t="s">
        <v>7</v>
      </c>
      <c r="E467" s="21" t="s">
        <v>4427</v>
      </c>
      <c r="F467" s="21" t="s">
        <v>4428</v>
      </c>
      <c r="G467" s="21"/>
    </row>
    <row r="468" ht="15.75" customHeight="1">
      <c r="A468" s="20" t="s">
        <v>4429</v>
      </c>
      <c r="B468" s="21" t="s">
        <v>4426</v>
      </c>
      <c r="C468" s="21" t="s">
        <v>4142</v>
      </c>
      <c r="D468" s="21" t="s">
        <v>7</v>
      </c>
      <c r="E468" s="21" t="s">
        <v>4430</v>
      </c>
      <c r="F468" s="21" t="s">
        <v>4432</v>
      </c>
      <c r="G468" s="21"/>
    </row>
    <row r="469" ht="15.75" customHeight="1">
      <c r="A469" s="20" t="s">
        <v>4434</v>
      </c>
      <c r="B469" s="21" t="s">
        <v>4426</v>
      </c>
      <c r="C469" s="21" t="s">
        <v>4142</v>
      </c>
      <c r="D469" s="21" t="s">
        <v>7</v>
      </c>
      <c r="E469" s="21" t="s">
        <v>4436</v>
      </c>
      <c r="F469" s="21"/>
      <c r="G469" s="21"/>
    </row>
    <row r="470" ht="15.75" customHeight="1">
      <c r="A470" s="20" t="s">
        <v>4438</v>
      </c>
      <c r="B470" s="21" t="s">
        <v>4426</v>
      </c>
      <c r="C470" s="21" t="s">
        <v>4142</v>
      </c>
      <c r="D470" s="21" t="s">
        <v>7</v>
      </c>
      <c r="E470" s="21" t="s">
        <v>4439</v>
      </c>
      <c r="F470" s="21" t="s">
        <v>4440</v>
      </c>
      <c r="G470" s="21"/>
    </row>
    <row r="471" ht="15.75" customHeight="1">
      <c r="A471" s="20" t="s">
        <v>4441</v>
      </c>
      <c r="B471" s="21" t="s">
        <v>4426</v>
      </c>
      <c r="C471" s="21" t="s">
        <v>4142</v>
      </c>
      <c r="D471" s="21" t="s">
        <v>7</v>
      </c>
      <c r="E471" s="21" t="s">
        <v>4442</v>
      </c>
      <c r="F471" s="21" t="s">
        <v>4443</v>
      </c>
      <c r="G471" s="21"/>
    </row>
    <row r="472" ht="15.75" customHeight="1">
      <c r="A472" s="20" t="s">
        <v>4444</v>
      </c>
      <c r="B472" s="21" t="s">
        <v>4445</v>
      </c>
      <c r="C472" s="21" t="s">
        <v>639</v>
      </c>
      <c r="D472" s="21" t="s">
        <v>7</v>
      </c>
      <c r="E472" s="21" t="s">
        <v>4446</v>
      </c>
      <c r="F472" s="21"/>
      <c r="G472" s="21"/>
    </row>
    <row r="473" ht="15.75" customHeight="1">
      <c r="A473" s="20" t="s">
        <v>4447</v>
      </c>
      <c r="B473" s="21" t="s">
        <v>1175</v>
      </c>
      <c r="C473" s="21" t="s">
        <v>4316</v>
      </c>
      <c r="D473" s="21" t="s">
        <v>7</v>
      </c>
      <c r="E473" s="21" t="s">
        <v>4448</v>
      </c>
      <c r="F473" s="21"/>
      <c r="G473" s="21"/>
    </row>
    <row r="474" ht="15.75" customHeight="1">
      <c r="A474" s="20" t="s">
        <v>4449</v>
      </c>
      <c r="B474" s="21" t="s">
        <v>1175</v>
      </c>
      <c r="C474" s="21" t="s">
        <v>4316</v>
      </c>
      <c r="D474" s="21" t="s">
        <v>7</v>
      </c>
      <c r="E474" s="21" t="s">
        <v>4450</v>
      </c>
      <c r="F474" s="21"/>
      <c r="G474" s="21"/>
    </row>
    <row r="475" ht="15.75" customHeight="1">
      <c r="A475" s="20" t="s">
        <v>4451</v>
      </c>
      <c r="B475" s="21" t="s">
        <v>1175</v>
      </c>
      <c r="C475" s="21" t="s">
        <v>4316</v>
      </c>
      <c r="D475" s="21" t="s">
        <v>7</v>
      </c>
      <c r="E475" s="21" t="s">
        <v>4453</v>
      </c>
      <c r="F475" s="21" t="s">
        <v>4454</v>
      </c>
      <c r="G475" s="21"/>
    </row>
    <row r="476" ht="15.75" customHeight="1">
      <c r="A476" s="20" t="s">
        <v>4456</v>
      </c>
      <c r="B476" s="21" t="s">
        <v>4458</v>
      </c>
      <c r="C476" s="21" t="s">
        <v>4460</v>
      </c>
      <c r="D476" s="21" t="s">
        <v>7</v>
      </c>
      <c r="E476" s="21" t="s">
        <v>4462</v>
      </c>
      <c r="F476" s="21" t="s">
        <v>4463</v>
      </c>
      <c r="G476" s="21"/>
    </row>
    <row r="477" ht="15.75" customHeight="1">
      <c r="A477" s="20" t="s">
        <v>4464</v>
      </c>
      <c r="B477" s="21" t="s">
        <v>4465</v>
      </c>
      <c r="C477" s="21" t="s">
        <v>102</v>
      </c>
      <c r="D477" s="21" t="s">
        <v>7</v>
      </c>
      <c r="E477" s="21" t="s">
        <v>4466</v>
      </c>
      <c r="F477" s="21" t="s">
        <v>4467</v>
      </c>
      <c r="G477" s="21"/>
    </row>
    <row r="478" ht="15.75" customHeight="1">
      <c r="A478" s="20" t="s">
        <v>4468</v>
      </c>
      <c r="B478" s="21" t="s">
        <v>4469</v>
      </c>
      <c r="C478" s="21" t="s">
        <v>3711</v>
      </c>
      <c r="D478" s="21" t="s">
        <v>7</v>
      </c>
      <c r="E478" s="21" t="s">
        <v>4470</v>
      </c>
      <c r="F478" s="21" t="s">
        <v>4471</v>
      </c>
      <c r="G478" s="21"/>
    </row>
    <row r="479" ht="15.75" customHeight="1">
      <c r="A479" s="20" t="s">
        <v>4472</v>
      </c>
      <c r="B479" s="21" t="s">
        <v>4473</v>
      </c>
      <c r="C479" s="21" t="s">
        <v>4475</v>
      </c>
      <c r="D479" s="21" t="s">
        <v>7</v>
      </c>
      <c r="E479" s="21" t="s">
        <v>4477</v>
      </c>
      <c r="F479" s="21"/>
      <c r="G479" s="21"/>
    </row>
    <row r="480" ht="15.75" customHeight="1">
      <c r="A480" s="20" t="s">
        <v>4259</v>
      </c>
      <c r="B480" s="21" t="s">
        <v>4473</v>
      </c>
      <c r="C480" s="21" t="s">
        <v>4475</v>
      </c>
      <c r="D480" s="21" t="s">
        <v>7</v>
      </c>
      <c r="E480" s="21" t="s">
        <v>4480</v>
      </c>
      <c r="F480" s="21" t="s">
        <v>4481</v>
      </c>
      <c r="G480" s="21"/>
    </row>
    <row r="481" ht="15.75" customHeight="1">
      <c r="A481" s="20" t="s">
        <v>4484</v>
      </c>
      <c r="B481" s="21" t="s">
        <v>4473</v>
      </c>
      <c r="C481" s="21" t="s">
        <v>4475</v>
      </c>
      <c r="D481" s="21" t="s">
        <v>7</v>
      </c>
      <c r="E481" s="21" t="s">
        <v>4486</v>
      </c>
      <c r="F481" s="21"/>
      <c r="G481" s="21"/>
    </row>
    <row r="482" ht="15.75" customHeight="1">
      <c r="A482" s="20" t="s">
        <v>4487</v>
      </c>
      <c r="B482" s="21" t="s">
        <v>4473</v>
      </c>
      <c r="C482" s="21" t="s">
        <v>4475</v>
      </c>
      <c r="D482" s="21" t="s">
        <v>7</v>
      </c>
      <c r="E482" s="21" t="s">
        <v>4488</v>
      </c>
      <c r="F482" s="21" t="s">
        <v>4489</v>
      </c>
      <c r="G482" s="21"/>
    </row>
    <row r="483" ht="15.75" customHeight="1">
      <c r="A483" s="20" t="s">
        <v>4490</v>
      </c>
      <c r="B483" s="21" t="s">
        <v>411</v>
      </c>
      <c r="C483" s="21" t="s">
        <v>412</v>
      </c>
      <c r="D483" s="21" t="s">
        <v>7</v>
      </c>
      <c r="E483" s="21" t="s">
        <v>4491</v>
      </c>
      <c r="F483" s="21" t="s">
        <v>4492</v>
      </c>
      <c r="G483" s="21"/>
    </row>
    <row r="484" ht="15.75" customHeight="1">
      <c r="A484" s="20" t="s">
        <v>4493</v>
      </c>
      <c r="B484" s="21" t="s">
        <v>411</v>
      </c>
      <c r="C484" s="21" t="s">
        <v>412</v>
      </c>
      <c r="D484" s="21" t="s">
        <v>7</v>
      </c>
      <c r="E484" s="21" t="s">
        <v>4494</v>
      </c>
      <c r="F484" s="21" t="s">
        <v>4495</v>
      </c>
      <c r="G484" s="21"/>
    </row>
    <row r="485" ht="15.75" customHeight="1">
      <c r="A485" s="20" t="s">
        <v>4496</v>
      </c>
      <c r="B485" s="21" t="s">
        <v>4497</v>
      </c>
      <c r="C485" s="21" t="s">
        <v>684</v>
      </c>
      <c r="D485" s="21" t="s">
        <v>7</v>
      </c>
      <c r="E485" s="21" t="s">
        <v>4499</v>
      </c>
      <c r="F485" s="21"/>
      <c r="G485" s="21"/>
    </row>
    <row r="486" ht="15.75" customHeight="1">
      <c r="A486" s="20" t="s">
        <v>4496</v>
      </c>
      <c r="B486" s="21" t="s">
        <v>4497</v>
      </c>
      <c r="C486" s="21" t="s">
        <v>684</v>
      </c>
      <c r="D486" s="21" t="s">
        <v>7</v>
      </c>
      <c r="E486" s="21" t="s">
        <v>4501</v>
      </c>
      <c r="F486" s="21" t="s">
        <v>4502</v>
      </c>
      <c r="G486" s="21"/>
    </row>
    <row r="487" ht="15.75" customHeight="1">
      <c r="A487" s="20" t="s">
        <v>4504</v>
      </c>
      <c r="B487" s="21" t="s">
        <v>4505</v>
      </c>
      <c r="C487" s="21" t="s">
        <v>4506</v>
      </c>
      <c r="D487" s="21" t="s">
        <v>7</v>
      </c>
      <c r="E487" s="21" t="s">
        <v>4508</v>
      </c>
      <c r="F487" s="21" t="s">
        <v>4509</v>
      </c>
      <c r="G487" s="21"/>
    </row>
    <row r="488" ht="15.75" customHeight="1">
      <c r="A488" s="20" t="s">
        <v>4511</v>
      </c>
      <c r="B488" s="21" t="s">
        <v>4505</v>
      </c>
      <c r="C488" s="21" t="s">
        <v>4506</v>
      </c>
      <c r="D488" s="21" t="s">
        <v>7</v>
      </c>
      <c r="E488" s="21" t="s">
        <v>4514</v>
      </c>
      <c r="F488" s="21" t="s">
        <v>4515</v>
      </c>
      <c r="G488" s="21"/>
    </row>
    <row r="489" ht="15.75" customHeight="1">
      <c r="A489" s="20" t="s">
        <v>4516</v>
      </c>
      <c r="B489" s="21" t="s">
        <v>299</v>
      </c>
      <c r="C489" s="21" t="s">
        <v>301</v>
      </c>
      <c r="D489" s="21" t="s">
        <v>7</v>
      </c>
      <c r="E489" s="21" t="s">
        <v>4517</v>
      </c>
      <c r="F489" s="21" t="s">
        <v>4518</v>
      </c>
      <c r="G489" s="21"/>
    </row>
    <row r="490" ht="15.75" customHeight="1">
      <c r="A490" s="20" t="s">
        <v>4519</v>
      </c>
      <c r="B490" s="21" t="s">
        <v>299</v>
      </c>
      <c r="C490" s="21" t="s">
        <v>301</v>
      </c>
      <c r="D490" s="21" t="s">
        <v>7</v>
      </c>
      <c r="E490" s="21" t="s">
        <v>4520</v>
      </c>
      <c r="F490" s="21" t="s">
        <v>4521</v>
      </c>
      <c r="G490" s="21"/>
    </row>
    <row r="491" ht="15.75" customHeight="1">
      <c r="A491" s="20" t="s">
        <v>4522</v>
      </c>
      <c r="B491" s="21" t="s">
        <v>299</v>
      </c>
      <c r="C491" s="21" t="s">
        <v>301</v>
      </c>
      <c r="D491" s="21" t="s">
        <v>7</v>
      </c>
      <c r="E491" s="21" t="s">
        <v>4523</v>
      </c>
      <c r="F491" s="21" t="s">
        <v>4524</v>
      </c>
      <c r="G491" s="21"/>
    </row>
    <row r="492" ht="15.75" customHeight="1">
      <c r="A492" s="20" t="s">
        <v>4525</v>
      </c>
      <c r="B492" s="21" t="s">
        <v>299</v>
      </c>
      <c r="C492" s="21" t="s">
        <v>301</v>
      </c>
      <c r="D492" s="21" t="s">
        <v>7</v>
      </c>
      <c r="E492" s="21" t="s">
        <v>4526</v>
      </c>
      <c r="F492" s="21" t="s">
        <v>4527</v>
      </c>
      <c r="G492" s="21"/>
    </row>
    <row r="493" ht="15.75" customHeight="1">
      <c r="A493" s="20" t="s">
        <v>4528</v>
      </c>
      <c r="B493" s="21" t="s">
        <v>2795</v>
      </c>
      <c r="C493" s="21" t="s">
        <v>2796</v>
      </c>
      <c r="D493" s="21" t="s">
        <v>7</v>
      </c>
      <c r="E493" s="21" t="s">
        <v>4529</v>
      </c>
      <c r="F493" s="21" t="s">
        <v>4530</v>
      </c>
      <c r="G493" s="21"/>
    </row>
    <row r="494" ht="15.75" customHeight="1">
      <c r="A494" s="20" t="s">
        <v>4531</v>
      </c>
      <c r="B494" s="21" t="s">
        <v>2795</v>
      </c>
      <c r="C494" s="21" t="s">
        <v>2796</v>
      </c>
      <c r="D494" s="21" t="s">
        <v>7</v>
      </c>
      <c r="E494" s="21" t="s">
        <v>4532</v>
      </c>
      <c r="F494" s="21"/>
      <c r="G494" s="21"/>
    </row>
    <row r="495" ht="15.75" customHeight="1">
      <c r="A495" s="20" t="s">
        <v>4533</v>
      </c>
      <c r="B495" s="21" t="s">
        <v>2795</v>
      </c>
      <c r="C495" s="21" t="s">
        <v>2796</v>
      </c>
      <c r="D495" s="21" t="s">
        <v>7</v>
      </c>
      <c r="E495" s="21" t="s">
        <v>4535</v>
      </c>
      <c r="F495" s="21" t="s">
        <v>4536</v>
      </c>
      <c r="G495" s="21"/>
    </row>
    <row r="496" ht="15.75" customHeight="1">
      <c r="A496" s="20" t="s">
        <v>4539</v>
      </c>
      <c r="B496" s="21" t="s">
        <v>4541</v>
      </c>
      <c r="C496" s="21" t="s">
        <v>3338</v>
      </c>
      <c r="D496" s="21" t="s">
        <v>7</v>
      </c>
      <c r="E496" s="21" t="s">
        <v>4542</v>
      </c>
      <c r="F496" s="21" t="s">
        <v>4543</v>
      </c>
      <c r="G496" s="21"/>
    </row>
    <row r="497" ht="15.75" customHeight="1">
      <c r="A497" s="20" t="s">
        <v>4544</v>
      </c>
      <c r="B497" s="21" t="s">
        <v>4545</v>
      </c>
      <c r="C497" s="21" t="s">
        <v>4546</v>
      </c>
      <c r="D497" s="21" t="s">
        <v>7</v>
      </c>
      <c r="E497" s="21" t="s">
        <v>4547</v>
      </c>
      <c r="F497" s="21" t="s">
        <v>4548</v>
      </c>
      <c r="G497" s="21"/>
    </row>
    <row r="498" ht="15.75" customHeight="1">
      <c r="A498" s="20" t="s">
        <v>4549</v>
      </c>
      <c r="B498" s="21" t="s">
        <v>4545</v>
      </c>
      <c r="C498" s="21" t="s">
        <v>4546</v>
      </c>
      <c r="D498" s="21" t="s">
        <v>7</v>
      </c>
      <c r="E498" s="21" t="s">
        <v>4551</v>
      </c>
      <c r="F498" s="21" t="s">
        <v>4552</v>
      </c>
      <c r="G498" s="21"/>
    </row>
    <row r="499" ht="15.75" customHeight="1">
      <c r="A499" s="20" t="s">
        <v>4556</v>
      </c>
      <c r="B499" s="21" t="s">
        <v>4557</v>
      </c>
      <c r="C499" s="21" t="s">
        <v>4460</v>
      </c>
      <c r="D499" s="21" t="s">
        <v>7</v>
      </c>
      <c r="E499" s="21" t="s">
        <v>4558</v>
      </c>
      <c r="F499" s="21"/>
      <c r="G499" s="21"/>
    </row>
    <row r="500" ht="15.75" customHeight="1">
      <c r="A500" s="20" t="s">
        <v>4559</v>
      </c>
      <c r="B500" s="21" t="s">
        <v>424</v>
      </c>
      <c r="C500" s="21" t="s">
        <v>425</v>
      </c>
      <c r="D500" s="21" t="s">
        <v>7</v>
      </c>
      <c r="E500" s="21" t="s">
        <v>4560</v>
      </c>
      <c r="F500" s="21"/>
      <c r="G500" s="21"/>
    </row>
    <row r="501" ht="15.75" customHeight="1">
      <c r="A501" s="20" t="s">
        <v>4561</v>
      </c>
      <c r="B501" s="21" t="s">
        <v>424</v>
      </c>
      <c r="C501" s="21" t="s">
        <v>425</v>
      </c>
      <c r="D501" s="21" t="s">
        <v>7</v>
      </c>
      <c r="E501" s="21" t="s">
        <v>4563</v>
      </c>
      <c r="F501" s="21" t="s">
        <v>4565</v>
      </c>
      <c r="G501" s="21"/>
    </row>
    <row r="502" ht="15.75" customHeight="1">
      <c r="A502" s="20" t="s">
        <v>4568</v>
      </c>
      <c r="B502" s="21" t="s">
        <v>313</v>
      </c>
      <c r="C502" s="21" t="s">
        <v>500</v>
      </c>
      <c r="D502" s="21" t="s">
        <v>7</v>
      </c>
      <c r="E502" s="21" t="s">
        <v>4569</v>
      </c>
      <c r="F502" s="21" t="s">
        <v>4570</v>
      </c>
      <c r="G502" s="21"/>
    </row>
    <row r="503" ht="15.75" customHeight="1">
      <c r="A503" s="20" t="s">
        <v>4571</v>
      </c>
      <c r="B503" s="21" t="s">
        <v>313</v>
      </c>
      <c r="C503" s="21" t="s">
        <v>315</v>
      </c>
      <c r="D503" s="21" t="s">
        <v>7</v>
      </c>
      <c r="E503" s="21" t="s">
        <v>4572</v>
      </c>
      <c r="F503" s="21" t="s">
        <v>4573</v>
      </c>
      <c r="G503" s="21"/>
    </row>
    <row r="504" ht="15.75" customHeight="1">
      <c r="A504" s="20" t="s">
        <v>4574</v>
      </c>
      <c r="B504" s="21" t="s">
        <v>313</v>
      </c>
      <c r="C504" s="21" t="s">
        <v>500</v>
      </c>
      <c r="D504" s="21" t="s">
        <v>7</v>
      </c>
      <c r="E504" s="21" t="s">
        <v>4576</v>
      </c>
      <c r="F504" s="21" t="s">
        <v>4578</v>
      </c>
      <c r="G504" s="21"/>
    </row>
    <row r="505" ht="15.75" customHeight="1">
      <c r="A505" s="20" t="s">
        <v>4581</v>
      </c>
      <c r="B505" s="21" t="s">
        <v>313</v>
      </c>
      <c r="C505" s="21" t="s">
        <v>500</v>
      </c>
      <c r="D505" s="21" t="s">
        <v>7</v>
      </c>
      <c r="E505" s="21" t="s">
        <v>4582</v>
      </c>
      <c r="F505" s="21" t="s">
        <v>4583</v>
      </c>
      <c r="G505" s="21"/>
    </row>
    <row r="506" ht="15.75" customHeight="1">
      <c r="A506" s="20" t="s">
        <v>4584</v>
      </c>
      <c r="B506" s="21" t="s">
        <v>313</v>
      </c>
      <c r="C506" s="21" t="s">
        <v>500</v>
      </c>
      <c r="D506" s="21" t="s">
        <v>7</v>
      </c>
      <c r="E506" s="21" t="s">
        <v>4585</v>
      </c>
      <c r="F506" s="21" t="s">
        <v>4586</v>
      </c>
      <c r="G506" s="21"/>
    </row>
    <row r="507" ht="15.75" customHeight="1">
      <c r="A507" s="20" t="s">
        <v>4587</v>
      </c>
      <c r="B507" s="21" t="s">
        <v>313</v>
      </c>
      <c r="C507" s="21" t="s">
        <v>315</v>
      </c>
      <c r="D507" s="21" t="s">
        <v>7</v>
      </c>
      <c r="E507" s="21" t="s">
        <v>4588</v>
      </c>
      <c r="F507" s="21" t="s">
        <v>4589</v>
      </c>
      <c r="G507" s="21"/>
    </row>
    <row r="508" ht="15.75" customHeight="1">
      <c r="A508" s="20" t="s">
        <v>4592</v>
      </c>
      <c r="B508" s="21" t="s">
        <v>313</v>
      </c>
      <c r="C508" s="21" t="s">
        <v>510</v>
      </c>
      <c r="D508" s="21" t="s">
        <v>7</v>
      </c>
      <c r="E508" s="21" t="s">
        <v>4595</v>
      </c>
      <c r="F508" s="21" t="s">
        <v>4596</v>
      </c>
      <c r="G508" s="21"/>
    </row>
    <row r="509" ht="15.75" customHeight="1">
      <c r="A509" s="20" t="s">
        <v>4597</v>
      </c>
      <c r="B509" s="21" t="s">
        <v>313</v>
      </c>
      <c r="C509" s="21" t="s">
        <v>500</v>
      </c>
      <c r="D509" s="21" t="s">
        <v>7</v>
      </c>
      <c r="E509" s="21" t="s">
        <v>4598</v>
      </c>
      <c r="F509" s="21" t="s">
        <v>4599</v>
      </c>
      <c r="G509" s="21"/>
    </row>
    <row r="510" ht="15.75" customHeight="1">
      <c r="A510" s="20" t="s">
        <v>4600</v>
      </c>
      <c r="B510" s="21" t="s">
        <v>313</v>
      </c>
      <c r="C510" s="21" t="s">
        <v>500</v>
      </c>
      <c r="D510" s="21" t="s">
        <v>7</v>
      </c>
      <c r="E510" s="21" t="s">
        <v>4601</v>
      </c>
      <c r="F510" s="21" t="s">
        <v>4602</v>
      </c>
      <c r="G510" s="21"/>
    </row>
    <row r="511" ht="15.75" customHeight="1">
      <c r="A511" s="20" t="s">
        <v>4603</v>
      </c>
      <c r="B511" s="21" t="s">
        <v>313</v>
      </c>
      <c r="C511" s="21" t="s">
        <v>500</v>
      </c>
      <c r="D511" s="21" t="s">
        <v>7</v>
      </c>
      <c r="E511" s="21" t="s">
        <v>4605</v>
      </c>
      <c r="F511" s="21" t="s">
        <v>4607</v>
      </c>
      <c r="G511" s="21"/>
    </row>
    <row r="512" ht="15.75" customHeight="1">
      <c r="A512" s="20" t="s">
        <v>4610</v>
      </c>
      <c r="B512" s="21" t="s">
        <v>313</v>
      </c>
      <c r="C512" s="21" t="s">
        <v>500</v>
      </c>
      <c r="D512" s="21" t="s">
        <v>7</v>
      </c>
      <c r="E512" s="21" t="s">
        <v>4611</v>
      </c>
      <c r="F512" s="21" t="s">
        <v>4612</v>
      </c>
      <c r="G512" s="21"/>
    </row>
    <row r="513" ht="15.75" customHeight="1">
      <c r="A513" s="20" t="s">
        <v>4613</v>
      </c>
      <c r="B513" s="21" t="s">
        <v>313</v>
      </c>
      <c r="C513" s="21" t="s">
        <v>315</v>
      </c>
      <c r="D513" s="21" t="s">
        <v>7</v>
      </c>
      <c r="E513" s="21" t="s">
        <v>4614</v>
      </c>
      <c r="F513" s="21" t="s">
        <v>4615</v>
      </c>
      <c r="G513" s="21"/>
    </row>
    <row r="514" ht="15.75" customHeight="1">
      <c r="A514" s="20" t="s">
        <v>4616</v>
      </c>
      <c r="B514" s="21" t="s">
        <v>313</v>
      </c>
      <c r="C514" s="21" t="s">
        <v>315</v>
      </c>
      <c r="D514" s="21" t="s">
        <v>7</v>
      </c>
      <c r="E514" s="21" t="s">
        <v>4617</v>
      </c>
      <c r="F514" s="21" t="s">
        <v>4618</v>
      </c>
      <c r="G514" s="21"/>
    </row>
    <row r="515" ht="15.75" customHeight="1">
      <c r="A515" s="20" t="s">
        <v>4620</v>
      </c>
      <c r="B515" s="21" t="s">
        <v>313</v>
      </c>
      <c r="C515" s="21" t="s">
        <v>500</v>
      </c>
      <c r="D515" s="21" t="s">
        <v>7</v>
      </c>
      <c r="E515" s="21" t="s">
        <v>4621</v>
      </c>
      <c r="F515" s="21" t="s">
        <v>4622</v>
      </c>
      <c r="G515" s="21"/>
    </row>
    <row r="516" ht="15.75" customHeight="1">
      <c r="A516" s="20" t="s">
        <v>4624</v>
      </c>
      <c r="B516" s="21" t="s">
        <v>313</v>
      </c>
      <c r="C516" s="21" t="s">
        <v>500</v>
      </c>
      <c r="D516" s="21" t="s">
        <v>7</v>
      </c>
      <c r="E516" s="21" t="s">
        <v>4626</v>
      </c>
      <c r="F516" s="21" t="s">
        <v>4628</v>
      </c>
      <c r="G516" s="21"/>
    </row>
    <row r="517" ht="15.75" customHeight="1">
      <c r="A517" s="20" t="s">
        <v>4629</v>
      </c>
      <c r="B517" s="21" t="s">
        <v>313</v>
      </c>
      <c r="C517" s="21" t="s">
        <v>315</v>
      </c>
      <c r="D517" s="21" t="s">
        <v>7</v>
      </c>
      <c r="E517" s="21" t="s">
        <v>4630</v>
      </c>
      <c r="F517" s="21" t="s">
        <v>4631</v>
      </c>
      <c r="G517" s="21"/>
    </row>
    <row r="518" ht="15.75" customHeight="1">
      <c r="A518" s="20" t="s">
        <v>4632</v>
      </c>
      <c r="B518" s="21" t="s">
        <v>313</v>
      </c>
      <c r="C518" s="21" t="s">
        <v>500</v>
      </c>
      <c r="D518" s="21" t="s">
        <v>7</v>
      </c>
      <c r="E518" s="21" t="s">
        <v>4633</v>
      </c>
      <c r="F518" s="21" t="s">
        <v>4634</v>
      </c>
      <c r="G518" s="21"/>
    </row>
    <row r="519" ht="15.75" customHeight="1">
      <c r="A519" s="20" t="s">
        <v>4635</v>
      </c>
      <c r="B519" s="21" t="s">
        <v>313</v>
      </c>
      <c r="C519" s="21" t="s">
        <v>510</v>
      </c>
      <c r="D519" s="21" t="s">
        <v>7</v>
      </c>
      <c r="E519" s="21" t="s">
        <v>4636</v>
      </c>
      <c r="F519" s="21" t="s">
        <v>4637</v>
      </c>
      <c r="G519" s="21"/>
    </row>
    <row r="520" ht="15.75" customHeight="1">
      <c r="A520" s="20" t="s">
        <v>4638</v>
      </c>
      <c r="B520" s="21" t="s">
        <v>313</v>
      </c>
      <c r="C520" s="21" t="s">
        <v>500</v>
      </c>
      <c r="D520" s="21" t="s">
        <v>7</v>
      </c>
      <c r="E520" s="21" t="s">
        <v>4639</v>
      </c>
      <c r="F520" s="21" t="s">
        <v>4640</v>
      </c>
      <c r="G520" s="21"/>
    </row>
    <row r="521" ht="15.75" customHeight="1">
      <c r="A521" s="20" t="s">
        <v>4641</v>
      </c>
      <c r="B521" s="21" t="s">
        <v>313</v>
      </c>
      <c r="C521" s="21" t="s">
        <v>500</v>
      </c>
      <c r="D521" s="21" t="s">
        <v>7</v>
      </c>
      <c r="E521" s="21" t="s">
        <v>4642</v>
      </c>
      <c r="F521" s="21" t="s">
        <v>4643</v>
      </c>
      <c r="G521" s="21"/>
    </row>
    <row r="522" ht="15.75" customHeight="1">
      <c r="A522" s="20" t="s">
        <v>4644</v>
      </c>
      <c r="B522" s="21" t="s">
        <v>313</v>
      </c>
      <c r="C522" s="21" t="s">
        <v>500</v>
      </c>
      <c r="D522" s="21" t="s">
        <v>7</v>
      </c>
      <c r="E522" s="21" t="s">
        <v>4645</v>
      </c>
      <c r="F522" s="21" t="s">
        <v>4646</v>
      </c>
      <c r="G522" s="21"/>
    </row>
    <row r="523" ht="15.75" customHeight="1">
      <c r="A523" s="20" t="s">
        <v>4647</v>
      </c>
      <c r="B523" s="21" t="s">
        <v>313</v>
      </c>
      <c r="C523" s="56">
        <v>44000.0</v>
      </c>
      <c r="D523" s="21" t="s">
        <v>7</v>
      </c>
      <c r="E523" s="21" t="s">
        <v>4648</v>
      </c>
      <c r="F523" s="21" t="s">
        <v>4649</v>
      </c>
      <c r="G523" s="21" t="s">
        <v>783</v>
      </c>
    </row>
    <row r="524" ht="15.75" customHeight="1">
      <c r="A524" s="20" t="s">
        <v>4651</v>
      </c>
      <c r="B524" s="21" t="s">
        <v>313</v>
      </c>
      <c r="C524" s="21">
        <v>44000.0</v>
      </c>
      <c r="D524" s="21" t="s">
        <v>7</v>
      </c>
      <c r="E524" s="21" t="s">
        <v>4653</v>
      </c>
      <c r="F524" s="21" t="s">
        <v>4654</v>
      </c>
      <c r="G524" s="21" t="s">
        <v>1651</v>
      </c>
    </row>
    <row r="525" ht="15.75" customHeight="1">
      <c r="A525" s="20" t="s">
        <v>4657</v>
      </c>
      <c r="B525" s="21" t="s">
        <v>313</v>
      </c>
      <c r="C525" s="21">
        <v>44000.0</v>
      </c>
      <c r="D525" s="21" t="s">
        <v>7</v>
      </c>
      <c r="E525" s="21" t="s">
        <v>4658</v>
      </c>
      <c r="F525" s="21"/>
      <c r="G525" s="21" t="s">
        <v>4659</v>
      </c>
    </row>
    <row r="526" ht="15.75" customHeight="1">
      <c r="A526" s="20" t="s">
        <v>4660</v>
      </c>
      <c r="B526" s="21" t="s">
        <v>313</v>
      </c>
      <c r="C526" s="21">
        <v>44000.0</v>
      </c>
      <c r="D526" s="21" t="s">
        <v>7</v>
      </c>
      <c r="E526" s="21" t="s">
        <v>4661</v>
      </c>
      <c r="F526" s="21"/>
      <c r="G526" s="21" t="s">
        <v>4662</v>
      </c>
    </row>
    <row r="527" ht="15.75" customHeight="1">
      <c r="A527" s="20" t="s">
        <v>4663</v>
      </c>
      <c r="B527" s="21" t="s">
        <v>313</v>
      </c>
      <c r="C527" s="21">
        <v>44000.0</v>
      </c>
      <c r="D527" s="21" t="s">
        <v>7</v>
      </c>
      <c r="E527" s="21" t="s">
        <v>4664</v>
      </c>
      <c r="F527" s="21"/>
      <c r="G527" s="21" t="s">
        <v>4665</v>
      </c>
    </row>
    <row r="528" ht="15.75" customHeight="1">
      <c r="A528" s="20" t="s">
        <v>2959</v>
      </c>
      <c r="B528" s="21" t="s">
        <v>313</v>
      </c>
      <c r="C528" s="21">
        <v>44000.0</v>
      </c>
      <c r="D528" s="21" t="s">
        <v>7</v>
      </c>
      <c r="E528" s="21" t="s">
        <v>2960</v>
      </c>
      <c r="F528" s="21"/>
      <c r="G528" s="21" t="s">
        <v>4666</v>
      </c>
    </row>
    <row r="529" ht="15.75" customHeight="1">
      <c r="A529" s="20" t="s">
        <v>4667</v>
      </c>
      <c r="B529" s="21" t="s">
        <v>313</v>
      </c>
      <c r="C529" s="21">
        <v>44000.0</v>
      </c>
      <c r="D529" s="21" t="s">
        <v>7</v>
      </c>
      <c r="E529" s="21" t="s">
        <v>4668</v>
      </c>
      <c r="F529" s="21"/>
      <c r="G529" s="21"/>
    </row>
    <row r="530" ht="15.75" customHeight="1">
      <c r="A530" s="57" t="s">
        <v>4671</v>
      </c>
      <c r="B530" s="21" t="s">
        <v>313</v>
      </c>
      <c r="C530" s="21">
        <v>44000.0</v>
      </c>
      <c r="D530" s="21" t="s">
        <v>7</v>
      </c>
      <c r="E530" s="58" t="s">
        <v>4673</v>
      </c>
      <c r="F530" s="21"/>
      <c r="G530" s="21" t="s">
        <v>4675</v>
      </c>
    </row>
    <row r="531" ht="15.75" customHeight="1">
      <c r="A531" s="24" t="s">
        <v>3028</v>
      </c>
      <c r="B531" s="21" t="s">
        <v>313</v>
      </c>
      <c r="C531" s="21">
        <v>44000.0</v>
      </c>
      <c r="D531" s="21" t="s">
        <v>7</v>
      </c>
      <c r="E531" s="10" t="s">
        <v>2923</v>
      </c>
      <c r="F531" s="21" t="s">
        <v>4677</v>
      </c>
      <c r="G531" s="21" t="s">
        <v>4678</v>
      </c>
    </row>
    <row r="532" ht="15.75" customHeight="1">
      <c r="A532" s="24" t="s">
        <v>4679</v>
      </c>
      <c r="B532" s="21" t="s">
        <v>4680</v>
      </c>
      <c r="C532" s="21"/>
      <c r="D532" s="21"/>
      <c r="E532" s="10" t="s">
        <v>4681</v>
      </c>
      <c r="F532" s="21"/>
      <c r="G532" s="21" t="s">
        <v>4682</v>
      </c>
    </row>
    <row r="533" ht="15.75" customHeight="1">
      <c r="A533" s="20" t="s">
        <v>4683</v>
      </c>
      <c r="B533" s="21" t="s">
        <v>257</v>
      </c>
      <c r="C533" s="21" t="s">
        <v>639</v>
      </c>
      <c r="D533" s="21" t="s">
        <v>7</v>
      </c>
      <c r="E533" s="21" t="s">
        <v>4684</v>
      </c>
      <c r="F533" s="21" t="s">
        <v>4685</v>
      </c>
      <c r="G533" s="21"/>
    </row>
    <row r="534" ht="15.75" customHeight="1">
      <c r="A534" s="20" t="s">
        <v>4686</v>
      </c>
      <c r="B534" s="21" t="s">
        <v>257</v>
      </c>
      <c r="C534" s="21" t="s">
        <v>639</v>
      </c>
      <c r="D534" s="21" t="s">
        <v>7</v>
      </c>
      <c r="E534" s="21" t="s">
        <v>4688</v>
      </c>
      <c r="F534" s="21" t="s">
        <v>4689</v>
      </c>
      <c r="G534" s="21"/>
    </row>
    <row r="535" ht="15.75" customHeight="1">
      <c r="A535" s="20" t="s">
        <v>4692</v>
      </c>
      <c r="B535" s="21" t="s">
        <v>257</v>
      </c>
      <c r="C535" s="21" t="s">
        <v>639</v>
      </c>
      <c r="D535" s="21" t="s">
        <v>7</v>
      </c>
      <c r="E535" s="21" t="s">
        <v>4693</v>
      </c>
      <c r="F535" s="21" t="s">
        <v>4694</v>
      </c>
      <c r="G535" s="21"/>
    </row>
    <row r="536" ht="15.75" customHeight="1">
      <c r="A536" s="20" t="s">
        <v>4696</v>
      </c>
      <c r="B536" s="21" t="s">
        <v>257</v>
      </c>
      <c r="C536" s="21" t="s">
        <v>639</v>
      </c>
      <c r="D536" s="21" t="s">
        <v>7</v>
      </c>
      <c r="E536" s="21" t="s">
        <v>4698</v>
      </c>
      <c r="F536" s="21" t="s">
        <v>4699</v>
      </c>
      <c r="G536" s="21"/>
    </row>
    <row r="537" ht="15.75" customHeight="1">
      <c r="A537" s="20" t="s">
        <v>4701</v>
      </c>
      <c r="B537" s="21" t="s">
        <v>257</v>
      </c>
      <c r="C537" s="21" t="s">
        <v>639</v>
      </c>
      <c r="D537" s="21" t="s">
        <v>7</v>
      </c>
      <c r="E537" s="21" t="s">
        <v>4702</v>
      </c>
      <c r="F537" s="21"/>
      <c r="G537" s="21"/>
    </row>
    <row r="538" ht="15.75" customHeight="1">
      <c r="A538" s="20" t="s">
        <v>4703</v>
      </c>
      <c r="B538" s="21" t="s">
        <v>669</v>
      </c>
      <c r="C538" s="21" t="s">
        <v>684</v>
      </c>
      <c r="D538" s="21" t="s">
        <v>7</v>
      </c>
      <c r="E538" s="21" t="s">
        <v>4704</v>
      </c>
      <c r="F538" s="21" t="s">
        <v>4705</v>
      </c>
      <c r="G538" s="21"/>
    </row>
    <row r="539" ht="15.75" customHeight="1">
      <c r="A539" s="20" t="s">
        <v>4706</v>
      </c>
      <c r="B539" s="21" t="s">
        <v>2850</v>
      </c>
      <c r="C539" s="21" t="s">
        <v>2851</v>
      </c>
      <c r="D539" s="21" t="s">
        <v>7</v>
      </c>
      <c r="E539" s="21" t="s">
        <v>4707</v>
      </c>
      <c r="F539" s="21" t="s">
        <v>4708</v>
      </c>
      <c r="G539" s="21"/>
    </row>
    <row r="540" ht="15.75" customHeight="1">
      <c r="A540" s="20" t="s">
        <v>4709</v>
      </c>
      <c r="B540" s="21" t="s">
        <v>351</v>
      </c>
      <c r="C540" s="21" t="s">
        <v>352</v>
      </c>
      <c r="D540" s="21" t="s">
        <v>7</v>
      </c>
      <c r="E540" s="21" t="s">
        <v>4710</v>
      </c>
      <c r="F540" s="21" t="s">
        <v>4711</v>
      </c>
      <c r="G540" s="21"/>
    </row>
    <row r="541" ht="15.75" customHeight="1">
      <c r="A541" s="20" t="s">
        <v>4712</v>
      </c>
      <c r="B541" s="21" t="s">
        <v>4714</v>
      </c>
      <c r="C541" s="21" t="s">
        <v>3958</v>
      </c>
      <c r="D541" s="21" t="s">
        <v>7</v>
      </c>
      <c r="E541" s="21" t="s">
        <v>4715</v>
      </c>
      <c r="F541" s="21" t="s">
        <v>4716</v>
      </c>
      <c r="G541" s="21"/>
    </row>
    <row r="542" ht="15.75" customHeight="1">
      <c r="A542" s="20" t="s">
        <v>4719</v>
      </c>
      <c r="B542" s="21" t="s">
        <v>4721</v>
      </c>
      <c r="C542" s="21" t="s">
        <v>639</v>
      </c>
      <c r="D542" s="21" t="s">
        <v>7</v>
      </c>
      <c r="E542" s="21" t="s">
        <v>4722</v>
      </c>
      <c r="F542" s="21" t="s">
        <v>4723</v>
      </c>
      <c r="G542" s="21"/>
    </row>
    <row r="543" ht="15.75" customHeight="1">
      <c r="A543" s="20" t="s">
        <v>4724</v>
      </c>
      <c r="B543" s="21" t="s">
        <v>4721</v>
      </c>
      <c r="C543" s="21" t="s">
        <v>639</v>
      </c>
      <c r="D543" s="21" t="s">
        <v>7</v>
      </c>
      <c r="E543" s="21" t="s">
        <v>4725</v>
      </c>
      <c r="F543" s="21" t="s">
        <v>4726</v>
      </c>
      <c r="G543" s="21"/>
    </row>
    <row r="544" ht="15.75" customHeight="1">
      <c r="A544" s="20" t="s">
        <v>4727</v>
      </c>
      <c r="B544" s="21" t="s">
        <v>4728</v>
      </c>
      <c r="C544" s="21" t="s">
        <v>301</v>
      </c>
      <c r="D544" s="21" t="s">
        <v>7</v>
      </c>
      <c r="E544" s="21" t="s">
        <v>4729</v>
      </c>
      <c r="F544" s="21" t="s">
        <v>4730</v>
      </c>
      <c r="G544" s="21"/>
    </row>
    <row r="545" ht="15.75" customHeight="1">
      <c r="A545" s="20" t="s">
        <v>4731</v>
      </c>
      <c r="B545" s="21" t="s">
        <v>4728</v>
      </c>
      <c r="C545" s="21" t="s">
        <v>301</v>
      </c>
      <c r="D545" s="21" t="s">
        <v>7</v>
      </c>
      <c r="E545" s="21" t="s">
        <v>4732</v>
      </c>
      <c r="F545" s="21" t="s">
        <v>4733</v>
      </c>
      <c r="G545" s="21"/>
    </row>
    <row r="546" ht="15.75" customHeight="1">
      <c r="A546" s="20" t="s">
        <v>4734</v>
      </c>
      <c r="B546" s="21" t="s">
        <v>4728</v>
      </c>
      <c r="C546" s="21" t="s">
        <v>301</v>
      </c>
      <c r="D546" s="21" t="s">
        <v>7</v>
      </c>
      <c r="E546" s="21" t="s">
        <v>4736</v>
      </c>
      <c r="F546" s="21" t="s">
        <v>4737</v>
      </c>
      <c r="G546" s="21"/>
    </row>
    <row r="547" ht="15.75" customHeight="1">
      <c r="A547" s="20" t="s">
        <v>4738</v>
      </c>
      <c r="B547" s="21" t="s">
        <v>4728</v>
      </c>
      <c r="C547" s="21" t="s">
        <v>301</v>
      </c>
      <c r="D547" s="21" t="s">
        <v>7</v>
      </c>
      <c r="E547" s="21" t="s">
        <v>4741</v>
      </c>
      <c r="F547" s="21" t="s">
        <v>4742</v>
      </c>
      <c r="G547" s="21"/>
    </row>
    <row r="548" ht="15.75" customHeight="1">
      <c r="A548" s="20" t="s">
        <v>4744</v>
      </c>
      <c r="B548" s="21" t="s">
        <v>4728</v>
      </c>
      <c r="C548" s="21" t="s">
        <v>301</v>
      </c>
      <c r="D548" s="21" t="s">
        <v>7</v>
      </c>
      <c r="E548" s="21" t="s">
        <v>4745</v>
      </c>
      <c r="F548" s="21" t="s">
        <v>4746</v>
      </c>
      <c r="G548" s="21"/>
    </row>
    <row r="549" ht="15.75" customHeight="1">
      <c r="A549" s="20" t="s">
        <v>4747</v>
      </c>
      <c r="B549" s="21" t="s">
        <v>4728</v>
      </c>
      <c r="C549" s="21" t="s">
        <v>301</v>
      </c>
      <c r="D549" s="21" t="s">
        <v>7</v>
      </c>
      <c r="E549" s="21" t="s">
        <v>4748</v>
      </c>
      <c r="F549" s="21" t="s">
        <v>4749</v>
      </c>
      <c r="G549" s="21"/>
    </row>
    <row r="550" ht="15.75" customHeight="1">
      <c r="A550" s="20" t="s">
        <v>4750</v>
      </c>
      <c r="B550" s="21" t="s">
        <v>4728</v>
      </c>
      <c r="C550" s="21" t="s">
        <v>301</v>
      </c>
      <c r="D550" s="21" t="s">
        <v>7</v>
      </c>
      <c r="E550" s="21" t="s">
        <v>4751</v>
      </c>
      <c r="F550" s="21" t="s">
        <v>4752</v>
      </c>
      <c r="G550" s="21"/>
    </row>
    <row r="551" ht="15.75" customHeight="1">
      <c r="A551" s="20" t="s">
        <v>4753</v>
      </c>
      <c r="B551" s="21" t="s">
        <v>4728</v>
      </c>
      <c r="C551" s="21" t="s">
        <v>301</v>
      </c>
      <c r="D551" s="21" t="s">
        <v>7</v>
      </c>
      <c r="E551" s="21" t="s">
        <v>4754</v>
      </c>
      <c r="F551" s="21" t="s">
        <v>4755</v>
      </c>
      <c r="G551" s="21"/>
    </row>
    <row r="552" ht="15.75" customHeight="1">
      <c r="A552" s="20" t="s">
        <v>4757</v>
      </c>
      <c r="B552" s="21" t="s">
        <v>4728</v>
      </c>
      <c r="C552" s="21" t="s">
        <v>301</v>
      </c>
      <c r="D552" s="21" t="s">
        <v>7</v>
      </c>
      <c r="E552" s="21" t="s">
        <v>4759</v>
      </c>
      <c r="F552" s="21" t="s">
        <v>4760</v>
      </c>
      <c r="G552" s="21"/>
    </row>
    <row r="553" ht="15.75" customHeight="1">
      <c r="A553" s="20" t="s">
        <v>4763</v>
      </c>
      <c r="B553" s="21" t="s">
        <v>4728</v>
      </c>
      <c r="C553" s="21" t="s">
        <v>301</v>
      </c>
      <c r="D553" s="21" t="s">
        <v>7</v>
      </c>
      <c r="E553" s="21" t="s">
        <v>4764</v>
      </c>
      <c r="F553" s="21" t="s">
        <v>4765</v>
      </c>
      <c r="G553" s="21"/>
    </row>
    <row r="554" ht="15.75" customHeight="1">
      <c r="A554" s="20" t="s">
        <v>4767</v>
      </c>
      <c r="B554" s="21" t="s">
        <v>4728</v>
      </c>
      <c r="C554" s="21" t="s">
        <v>301</v>
      </c>
      <c r="D554" s="21" t="s">
        <v>7</v>
      </c>
      <c r="E554" s="21" t="s">
        <v>4770</v>
      </c>
      <c r="F554" s="21" t="s">
        <v>4772</v>
      </c>
      <c r="G554" s="21"/>
    </row>
    <row r="555" ht="15.75" customHeight="1">
      <c r="A555" s="20" t="s">
        <v>4774</v>
      </c>
      <c r="B555" s="21" t="s">
        <v>4728</v>
      </c>
      <c r="C555" s="21" t="s">
        <v>301</v>
      </c>
      <c r="D555" s="21" t="s">
        <v>7</v>
      </c>
      <c r="E555" s="21" t="s">
        <v>4775</v>
      </c>
      <c r="F555" s="21" t="s">
        <v>4776</v>
      </c>
      <c r="G555" s="21"/>
    </row>
    <row r="556" ht="15.75" customHeight="1">
      <c r="A556" s="20" t="s">
        <v>4777</v>
      </c>
      <c r="B556" s="21" t="s">
        <v>4728</v>
      </c>
      <c r="C556" s="21" t="s">
        <v>301</v>
      </c>
      <c r="D556" s="21" t="s">
        <v>7</v>
      </c>
      <c r="E556" s="21" t="s">
        <v>4778</v>
      </c>
      <c r="F556" s="21" t="s">
        <v>4779</v>
      </c>
      <c r="G556" s="21"/>
    </row>
    <row r="557" ht="15.75" customHeight="1">
      <c r="A557" s="20" t="s">
        <v>4780</v>
      </c>
      <c r="B557" s="21" t="s">
        <v>4781</v>
      </c>
      <c r="C557" s="21" t="s">
        <v>4782</v>
      </c>
      <c r="D557" s="21" t="s">
        <v>7</v>
      </c>
      <c r="E557" s="21" t="s">
        <v>4783</v>
      </c>
      <c r="F557" s="21"/>
      <c r="G557" s="21"/>
    </row>
    <row r="558" ht="15.75" customHeight="1">
      <c r="A558" s="20" t="s">
        <v>4784</v>
      </c>
      <c r="B558" s="21" t="s">
        <v>4781</v>
      </c>
      <c r="C558" s="21" t="s">
        <v>4782</v>
      </c>
      <c r="D558" s="21" t="s">
        <v>7</v>
      </c>
      <c r="E558" s="21" t="s">
        <v>4785</v>
      </c>
      <c r="F558" s="21"/>
      <c r="G558" s="21"/>
    </row>
    <row r="559" ht="15.75" customHeight="1">
      <c r="A559" s="20" t="s">
        <v>4786</v>
      </c>
      <c r="B559" s="21" t="s">
        <v>369</v>
      </c>
      <c r="C559" s="21" t="s">
        <v>370</v>
      </c>
      <c r="D559" s="21" t="s">
        <v>7</v>
      </c>
      <c r="E559" s="21" t="s">
        <v>4787</v>
      </c>
      <c r="F559" s="21" t="s">
        <v>4788</v>
      </c>
      <c r="G559" s="21"/>
    </row>
    <row r="560" ht="15.75" customHeight="1">
      <c r="A560" s="20" t="s">
        <v>4789</v>
      </c>
      <c r="B560" s="21" t="s">
        <v>369</v>
      </c>
      <c r="C560" s="21" t="s">
        <v>370</v>
      </c>
      <c r="D560" s="21" t="s">
        <v>7</v>
      </c>
      <c r="E560" s="21" t="s">
        <v>4792</v>
      </c>
      <c r="F560" s="21" t="s">
        <v>4793</v>
      </c>
      <c r="G560" s="21"/>
    </row>
    <row r="561" ht="15.75" customHeight="1">
      <c r="A561" s="20" t="s">
        <v>4796</v>
      </c>
      <c r="B561" s="21" t="s">
        <v>369</v>
      </c>
      <c r="C561" s="21" t="s">
        <v>370</v>
      </c>
      <c r="D561" s="21" t="s">
        <v>7</v>
      </c>
      <c r="E561" s="21" t="s">
        <v>4798</v>
      </c>
      <c r="F561" s="21" t="s">
        <v>4799</v>
      </c>
      <c r="G561" s="21"/>
    </row>
    <row r="562" ht="15.75" customHeight="1">
      <c r="A562" s="20" t="s">
        <v>4800</v>
      </c>
      <c r="B562" s="21" t="s">
        <v>369</v>
      </c>
      <c r="C562" s="21" t="s">
        <v>370</v>
      </c>
      <c r="D562" s="21" t="s">
        <v>7</v>
      </c>
      <c r="E562" s="21" t="s">
        <v>4801</v>
      </c>
      <c r="F562" s="21" t="s">
        <v>4802</v>
      </c>
      <c r="G562" s="21"/>
    </row>
    <row r="563" ht="15.75" customHeight="1">
      <c r="A563" s="20" t="s">
        <v>4803</v>
      </c>
      <c r="B563" s="21" t="s">
        <v>1066</v>
      </c>
      <c r="C563" s="21" t="s">
        <v>703</v>
      </c>
      <c r="D563" s="21" t="s">
        <v>7</v>
      </c>
      <c r="E563" s="21" t="s">
        <v>4804</v>
      </c>
      <c r="F563" s="21" t="s">
        <v>4805</v>
      </c>
      <c r="G563" s="21"/>
    </row>
    <row r="564" ht="15.75" customHeight="1">
      <c r="A564" s="20" t="s">
        <v>4806</v>
      </c>
      <c r="B564" s="21" t="s">
        <v>1066</v>
      </c>
      <c r="C564" s="21" t="s">
        <v>703</v>
      </c>
      <c r="D564" s="21" t="s">
        <v>7</v>
      </c>
      <c r="E564" s="21" t="s">
        <v>4807</v>
      </c>
      <c r="F564" s="21" t="s">
        <v>4808</v>
      </c>
      <c r="G564" s="21"/>
    </row>
    <row r="565" ht="15.75" customHeight="1">
      <c r="A565" s="20" t="s">
        <v>4809</v>
      </c>
      <c r="B565" s="21" t="s">
        <v>1066</v>
      </c>
      <c r="C565" s="21" t="s">
        <v>703</v>
      </c>
      <c r="D565" s="21" t="s">
        <v>7</v>
      </c>
      <c r="E565" s="21" t="s">
        <v>4810</v>
      </c>
      <c r="F565" s="21" t="s">
        <v>4811</v>
      </c>
      <c r="G565" s="21"/>
    </row>
    <row r="566" ht="15.75" customHeight="1">
      <c r="A566" s="20" t="s">
        <v>4813</v>
      </c>
      <c r="B566" s="21" t="s">
        <v>1066</v>
      </c>
      <c r="C566" s="21" t="s">
        <v>703</v>
      </c>
      <c r="D566" s="21" t="s">
        <v>7</v>
      </c>
      <c r="E566" s="21" t="s">
        <v>4815</v>
      </c>
      <c r="F566" s="21" t="s">
        <v>4817</v>
      </c>
      <c r="G566" s="21"/>
    </row>
    <row r="567" ht="15.75" customHeight="1">
      <c r="A567" s="20" t="s">
        <v>4820</v>
      </c>
      <c r="B567" s="21" t="s">
        <v>1066</v>
      </c>
      <c r="C567" s="21" t="s">
        <v>703</v>
      </c>
      <c r="D567" s="21" t="s">
        <v>7</v>
      </c>
      <c r="E567" s="21" t="s">
        <v>4821</v>
      </c>
      <c r="F567" s="21" t="s">
        <v>4822</v>
      </c>
      <c r="G567" s="21"/>
    </row>
    <row r="568" ht="15.75" customHeight="1">
      <c r="A568" s="20" t="s">
        <v>4823</v>
      </c>
      <c r="B568" s="21" t="s">
        <v>1066</v>
      </c>
      <c r="C568" s="21" t="s">
        <v>703</v>
      </c>
      <c r="D568" s="21" t="s">
        <v>7</v>
      </c>
      <c r="E568" s="21" t="s">
        <v>4824</v>
      </c>
      <c r="F568" s="21" t="s">
        <v>4825</v>
      </c>
      <c r="G568" s="21"/>
    </row>
    <row r="569" ht="15.75" customHeight="1">
      <c r="A569" s="20" t="s">
        <v>4826</v>
      </c>
      <c r="B569" s="21" t="s">
        <v>1066</v>
      </c>
      <c r="C569" s="21" t="s">
        <v>703</v>
      </c>
      <c r="D569" s="21" t="s">
        <v>7</v>
      </c>
      <c r="E569" s="21" t="s">
        <v>4827</v>
      </c>
      <c r="F569" s="21" t="s">
        <v>4828</v>
      </c>
      <c r="G569" s="21"/>
    </row>
    <row r="570" ht="15.75" customHeight="1">
      <c r="A570" s="20" t="s">
        <v>4829</v>
      </c>
      <c r="B570" s="21" t="s">
        <v>387</v>
      </c>
      <c r="C570" s="21" t="s">
        <v>390</v>
      </c>
      <c r="D570" s="21" t="s">
        <v>7</v>
      </c>
      <c r="E570" s="21" t="s">
        <v>4830</v>
      </c>
      <c r="F570" s="21" t="s">
        <v>4831</v>
      </c>
      <c r="G570" s="21"/>
    </row>
    <row r="571" ht="15.75" customHeight="1">
      <c r="A571" s="20" t="s">
        <v>4832</v>
      </c>
      <c r="B571" s="21" t="s">
        <v>387</v>
      </c>
      <c r="C571" s="21" t="s">
        <v>390</v>
      </c>
      <c r="D571" s="21" t="s">
        <v>7</v>
      </c>
      <c r="E571" s="21" t="s">
        <v>4833</v>
      </c>
      <c r="F571" s="21" t="s">
        <v>4834</v>
      </c>
      <c r="G571" s="21"/>
    </row>
    <row r="572" ht="15.75" customHeight="1">
      <c r="A572" s="20" t="s">
        <v>4259</v>
      </c>
      <c r="B572" s="21" t="s">
        <v>387</v>
      </c>
      <c r="C572" s="21" t="s">
        <v>390</v>
      </c>
      <c r="D572" s="21" t="s">
        <v>7</v>
      </c>
      <c r="E572" s="21" t="s">
        <v>4836</v>
      </c>
      <c r="F572" s="21" t="s">
        <v>4837</v>
      </c>
      <c r="G572" s="21"/>
    </row>
    <row r="573" ht="15.75" customHeight="1">
      <c r="A573" s="20" t="s">
        <v>4841</v>
      </c>
      <c r="B573" s="21" t="s">
        <v>387</v>
      </c>
      <c r="C573" s="21" t="s">
        <v>390</v>
      </c>
      <c r="D573" s="21" t="s">
        <v>7</v>
      </c>
      <c r="E573" s="21" t="s">
        <v>4842</v>
      </c>
      <c r="F573" s="21" t="s">
        <v>4843</v>
      </c>
      <c r="G573" s="21"/>
    </row>
    <row r="574" ht="15.75" customHeight="1">
      <c r="A574" s="20" t="s">
        <v>4844</v>
      </c>
      <c r="B574" s="21" t="s">
        <v>387</v>
      </c>
      <c r="C574" s="21" t="s">
        <v>390</v>
      </c>
      <c r="D574" s="21" t="s">
        <v>7</v>
      </c>
      <c r="E574" s="21" t="s">
        <v>4845</v>
      </c>
      <c r="F574" s="21" t="s">
        <v>4846</v>
      </c>
      <c r="G574" s="21"/>
    </row>
    <row r="575" ht="15.75" customHeight="1">
      <c r="A575" s="20" t="s">
        <v>4847</v>
      </c>
      <c r="B575" s="21" t="s">
        <v>387</v>
      </c>
      <c r="C575" s="21" t="s">
        <v>390</v>
      </c>
      <c r="D575" s="21" t="s">
        <v>7</v>
      </c>
      <c r="E575" s="21" t="s">
        <v>4848</v>
      </c>
      <c r="F575" s="21" t="s">
        <v>4849</v>
      </c>
      <c r="G575" s="21"/>
    </row>
    <row r="576" ht="15.75" customHeight="1">
      <c r="A576" s="20" t="s">
        <v>4850</v>
      </c>
      <c r="B576" s="21" t="s">
        <v>387</v>
      </c>
      <c r="C576" s="21" t="s">
        <v>390</v>
      </c>
      <c r="D576" s="21" t="s">
        <v>7</v>
      </c>
      <c r="E576" s="21" t="s">
        <v>4851</v>
      </c>
      <c r="F576" s="21" t="s">
        <v>4852</v>
      </c>
      <c r="G576" s="21"/>
    </row>
    <row r="577" ht="15.75" customHeight="1">
      <c r="A577" s="20" t="s">
        <v>4853</v>
      </c>
      <c r="B577" s="21" t="s">
        <v>387</v>
      </c>
      <c r="C577" s="21" t="s">
        <v>390</v>
      </c>
      <c r="D577" s="21" t="s">
        <v>7</v>
      </c>
      <c r="E577" s="21" t="s">
        <v>4854</v>
      </c>
      <c r="F577" s="21" t="s">
        <v>4855</v>
      </c>
      <c r="G577" s="21"/>
    </row>
    <row r="578" ht="15.75" customHeight="1">
      <c r="A578" s="20" t="s">
        <v>4856</v>
      </c>
      <c r="B578" s="21" t="s">
        <v>387</v>
      </c>
      <c r="C578" s="21" t="s">
        <v>390</v>
      </c>
      <c r="D578" s="21" t="s">
        <v>7</v>
      </c>
      <c r="E578" s="21" t="s">
        <v>4857</v>
      </c>
      <c r="F578" s="21" t="s">
        <v>4858</v>
      </c>
      <c r="G578" s="21"/>
    </row>
    <row r="579" ht="15.75" customHeight="1">
      <c r="A579" s="20" t="s">
        <v>4859</v>
      </c>
      <c r="B579" s="21" t="s">
        <v>387</v>
      </c>
      <c r="C579" s="21" t="s">
        <v>390</v>
      </c>
      <c r="D579" s="21" t="s">
        <v>7</v>
      </c>
      <c r="E579" s="21" t="s">
        <v>4860</v>
      </c>
      <c r="F579" s="21" t="s">
        <v>4861</v>
      </c>
      <c r="G579" s="21"/>
    </row>
    <row r="580" ht="15.75" customHeight="1">
      <c r="A580" s="20" t="s">
        <v>4862</v>
      </c>
      <c r="B580" s="21" t="s">
        <v>387</v>
      </c>
      <c r="C580" s="21" t="s">
        <v>390</v>
      </c>
      <c r="D580" s="21" t="s">
        <v>7</v>
      </c>
      <c r="E580" s="21" t="s">
        <v>4863</v>
      </c>
      <c r="F580" s="21" t="s">
        <v>4864</v>
      </c>
      <c r="G580" s="21"/>
    </row>
    <row r="581" ht="15.75" customHeight="1">
      <c r="A581" s="20" t="s">
        <v>4865</v>
      </c>
      <c r="B581" s="21" t="s">
        <v>387</v>
      </c>
      <c r="C581" s="21" t="s">
        <v>390</v>
      </c>
      <c r="D581" s="21" t="s">
        <v>7</v>
      </c>
      <c r="E581" s="21" t="s">
        <v>4866</v>
      </c>
      <c r="F581" s="21" t="s">
        <v>4867</v>
      </c>
      <c r="G581" s="21"/>
    </row>
    <row r="582" ht="15.75" customHeight="1">
      <c r="A582" s="20" t="s">
        <v>4868</v>
      </c>
      <c r="B582" s="21" t="s">
        <v>387</v>
      </c>
      <c r="C582" s="21" t="s">
        <v>390</v>
      </c>
      <c r="D582" s="21" t="s">
        <v>7</v>
      </c>
      <c r="E582" s="21" t="s">
        <v>4869</v>
      </c>
      <c r="F582" s="21" t="s">
        <v>4870</v>
      </c>
      <c r="G582" s="21"/>
    </row>
    <row r="583" ht="15.75" customHeight="1">
      <c r="A583" s="20" t="s">
        <v>4871</v>
      </c>
      <c r="B583" s="21" t="s">
        <v>387</v>
      </c>
      <c r="C583" s="21" t="s">
        <v>390</v>
      </c>
      <c r="D583" s="21" t="s">
        <v>7</v>
      </c>
      <c r="E583" s="21" t="s">
        <v>4872</v>
      </c>
      <c r="F583" s="21" t="s">
        <v>4873</v>
      </c>
      <c r="G583" s="21"/>
    </row>
    <row r="584" ht="15.75" customHeight="1">
      <c r="A584" s="20" t="s">
        <v>4874</v>
      </c>
      <c r="B584" s="21" t="s">
        <v>387</v>
      </c>
      <c r="C584" s="21" t="s">
        <v>4875</v>
      </c>
      <c r="D584" s="21" t="s">
        <v>7</v>
      </c>
      <c r="E584" s="21" t="s">
        <v>4876</v>
      </c>
      <c r="F584" s="21" t="s">
        <v>4877</v>
      </c>
      <c r="G584" s="21"/>
    </row>
    <row r="585" ht="15.75" customHeight="1">
      <c r="A585" s="20" t="s">
        <v>4878</v>
      </c>
      <c r="B585" s="21" t="s">
        <v>387</v>
      </c>
      <c r="C585" s="21" t="s">
        <v>390</v>
      </c>
      <c r="D585" s="21" t="s">
        <v>7</v>
      </c>
      <c r="E585" s="21" t="s">
        <v>4879</v>
      </c>
      <c r="F585" s="21" t="s">
        <v>4880</v>
      </c>
      <c r="G585" s="21"/>
    </row>
    <row r="586" ht="15.75" customHeight="1">
      <c r="A586" s="20" t="s">
        <v>4881</v>
      </c>
      <c r="B586" s="21" t="s">
        <v>387</v>
      </c>
      <c r="C586" s="21" t="s">
        <v>390</v>
      </c>
      <c r="D586" s="21" t="s">
        <v>7</v>
      </c>
      <c r="E586" s="21" t="s">
        <v>4882</v>
      </c>
      <c r="F586" s="21" t="s">
        <v>4883</v>
      </c>
      <c r="G586" s="21"/>
    </row>
    <row r="587" ht="15.75" customHeight="1">
      <c r="A587" s="20" t="s">
        <v>4884</v>
      </c>
      <c r="B587" s="21" t="s">
        <v>387</v>
      </c>
      <c r="C587" s="21" t="s">
        <v>390</v>
      </c>
      <c r="D587" s="21" t="s">
        <v>7</v>
      </c>
      <c r="E587" s="21" t="s">
        <v>4885</v>
      </c>
      <c r="F587" s="21" t="s">
        <v>4886</v>
      </c>
      <c r="G587" s="21"/>
    </row>
    <row r="588" ht="15.75" customHeight="1">
      <c r="A588" s="20" t="s">
        <v>4887</v>
      </c>
      <c r="B588" s="21" t="s">
        <v>387</v>
      </c>
      <c r="C588" s="21" t="s">
        <v>390</v>
      </c>
      <c r="D588" s="21" t="s">
        <v>7</v>
      </c>
      <c r="E588" s="21" t="s">
        <v>4888</v>
      </c>
      <c r="F588" s="21" t="s">
        <v>4889</v>
      </c>
      <c r="G588" s="21"/>
    </row>
    <row r="589" ht="15.75" customHeight="1">
      <c r="A589" s="20" t="s">
        <v>4890</v>
      </c>
      <c r="B589" s="21" t="s">
        <v>387</v>
      </c>
      <c r="C589" s="21" t="s">
        <v>390</v>
      </c>
      <c r="D589" s="21" t="s">
        <v>7</v>
      </c>
      <c r="E589" s="21" t="s">
        <v>4891</v>
      </c>
      <c r="F589" s="21" t="s">
        <v>4892</v>
      </c>
      <c r="G589" s="21"/>
    </row>
    <row r="590" ht="15.75" customHeight="1">
      <c r="A590" s="20" t="s">
        <v>4893</v>
      </c>
      <c r="B590" s="21" t="s">
        <v>387</v>
      </c>
      <c r="C590" s="21" t="s">
        <v>390</v>
      </c>
      <c r="D590" s="21" t="s">
        <v>7</v>
      </c>
      <c r="E590" s="21" t="s">
        <v>4894</v>
      </c>
      <c r="F590" s="21" t="s">
        <v>4895</v>
      </c>
      <c r="G590" s="21"/>
    </row>
    <row r="591" ht="15.75" customHeight="1">
      <c r="A591" s="20" t="s">
        <v>4896</v>
      </c>
      <c r="B591" s="21" t="s">
        <v>387</v>
      </c>
      <c r="C591" s="21" t="s">
        <v>390</v>
      </c>
      <c r="D591" s="21" t="s">
        <v>7</v>
      </c>
      <c r="E591" s="21" t="s">
        <v>4897</v>
      </c>
      <c r="F591" s="21" t="s">
        <v>4898</v>
      </c>
      <c r="G591" s="21"/>
    </row>
    <row r="592" ht="15.75" customHeight="1">
      <c r="A592" s="20" t="s">
        <v>4899</v>
      </c>
      <c r="B592" s="21" t="s">
        <v>387</v>
      </c>
      <c r="C592" s="21" t="s">
        <v>390</v>
      </c>
      <c r="D592" s="21" t="s">
        <v>7</v>
      </c>
      <c r="E592" s="21" t="s">
        <v>4900</v>
      </c>
      <c r="F592" s="21" t="s">
        <v>4901</v>
      </c>
      <c r="G592" s="21"/>
    </row>
    <row r="593" ht="15.75" customHeight="1">
      <c r="A593" s="20" t="s">
        <v>4902</v>
      </c>
      <c r="B593" s="21" t="s">
        <v>387</v>
      </c>
      <c r="C593" s="21" t="s">
        <v>390</v>
      </c>
      <c r="D593" s="21" t="s">
        <v>7</v>
      </c>
      <c r="E593" s="21" t="s">
        <v>4903</v>
      </c>
      <c r="F593" s="21" t="s">
        <v>4904</v>
      </c>
      <c r="G593" s="21"/>
    </row>
    <row r="594" ht="15.75" customHeight="1">
      <c r="A594" s="20" t="s">
        <v>4905</v>
      </c>
      <c r="B594" s="21" t="s">
        <v>387</v>
      </c>
      <c r="C594" s="21" t="s">
        <v>390</v>
      </c>
      <c r="D594" s="21" t="s">
        <v>7</v>
      </c>
      <c r="E594" s="21" t="s">
        <v>4906</v>
      </c>
      <c r="F594" s="21" t="s">
        <v>4907</v>
      </c>
      <c r="G594" s="21"/>
    </row>
    <row r="595" ht="15.75" customHeight="1">
      <c r="A595" s="20" t="s">
        <v>4908</v>
      </c>
      <c r="B595" s="21" t="s">
        <v>387</v>
      </c>
      <c r="C595" s="21" t="s">
        <v>390</v>
      </c>
      <c r="D595" s="21" t="s">
        <v>7</v>
      </c>
      <c r="E595" s="21" t="s">
        <v>4909</v>
      </c>
      <c r="F595" s="21" t="s">
        <v>4910</v>
      </c>
      <c r="G595" s="21"/>
    </row>
    <row r="596" ht="15.75" customHeight="1">
      <c r="A596" s="20" t="s">
        <v>4911</v>
      </c>
      <c r="B596" s="21" t="s">
        <v>387</v>
      </c>
      <c r="C596" s="21" t="s">
        <v>390</v>
      </c>
      <c r="D596" s="21" t="s">
        <v>7</v>
      </c>
      <c r="E596" s="21" t="s">
        <v>4912</v>
      </c>
      <c r="F596" s="21" t="s">
        <v>4913</v>
      </c>
      <c r="G596" s="21"/>
    </row>
    <row r="597" ht="15.75" customHeight="1">
      <c r="A597" s="20" t="s">
        <v>4914</v>
      </c>
      <c r="B597" s="21" t="s">
        <v>387</v>
      </c>
      <c r="C597" s="21" t="s">
        <v>390</v>
      </c>
      <c r="D597" s="21" t="s">
        <v>7</v>
      </c>
      <c r="E597" s="21" t="s">
        <v>4915</v>
      </c>
      <c r="F597" s="21" t="s">
        <v>4916</v>
      </c>
      <c r="G597" s="21"/>
    </row>
    <row r="598" ht="15.75" customHeight="1">
      <c r="A598" s="20" t="s">
        <v>4917</v>
      </c>
      <c r="B598" s="21" t="s">
        <v>387</v>
      </c>
      <c r="C598" s="21" t="s">
        <v>390</v>
      </c>
      <c r="D598" s="21" t="s">
        <v>7</v>
      </c>
      <c r="E598" s="21" t="s">
        <v>4918</v>
      </c>
      <c r="F598" s="21" t="s">
        <v>4919</v>
      </c>
      <c r="G598" s="21"/>
    </row>
    <row r="599" ht="15.75" customHeight="1">
      <c r="A599" s="20" t="s">
        <v>4920</v>
      </c>
      <c r="B599" s="21" t="s">
        <v>387</v>
      </c>
      <c r="C599" s="21" t="s">
        <v>390</v>
      </c>
      <c r="D599" s="21" t="s">
        <v>7</v>
      </c>
      <c r="E599" s="21" t="s">
        <v>4921</v>
      </c>
      <c r="F599" s="21" t="s">
        <v>4922</v>
      </c>
      <c r="G599" s="21"/>
    </row>
    <row r="600" ht="15.75" customHeight="1">
      <c r="A600" s="20" t="s">
        <v>4923</v>
      </c>
      <c r="B600" s="21" t="s">
        <v>387</v>
      </c>
      <c r="C600" s="21" t="s">
        <v>390</v>
      </c>
      <c r="D600" s="21" t="s">
        <v>7</v>
      </c>
      <c r="E600" s="21" t="s">
        <v>4924</v>
      </c>
      <c r="F600" s="21" t="s">
        <v>4925</v>
      </c>
      <c r="G600" s="21"/>
    </row>
    <row r="601" ht="15.75" customHeight="1">
      <c r="A601" s="20" t="s">
        <v>4926</v>
      </c>
      <c r="B601" s="21" t="s">
        <v>387</v>
      </c>
      <c r="C601" s="21" t="s">
        <v>390</v>
      </c>
      <c r="D601" s="21" t="s">
        <v>7</v>
      </c>
      <c r="E601" s="21" t="s">
        <v>4927</v>
      </c>
      <c r="F601" s="21" t="s">
        <v>4928</v>
      </c>
      <c r="G601" s="21"/>
    </row>
    <row r="602" ht="15.75" customHeight="1">
      <c r="A602" s="20" t="s">
        <v>4929</v>
      </c>
      <c r="B602" s="21" t="s">
        <v>387</v>
      </c>
      <c r="C602" s="21" t="s">
        <v>390</v>
      </c>
      <c r="D602" s="21" t="s">
        <v>7</v>
      </c>
      <c r="E602" s="21" t="s">
        <v>4930</v>
      </c>
      <c r="F602" s="21" t="s">
        <v>4931</v>
      </c>
      <c r="G602" s="21"/>
    </row>
    <row r="603" ht="15.75" customHeight="1">
      <c r="A603" s="20" t="s">
        <v>4932</v>
      </c>
      <c r="B603" s="21" t="s">
        <v>387</v>
      </c>
      <c r="C603" s="21" t="s">
        <v>390</v>
      </c>
      <c r="D603" s="21" t="s">
        <v>7</v>
      </c>
      <c r="E603" s="21" t="s">
        <v>4933</v>
      </c>
      <c r="F603" s="21" t="s">
        <v>4934</v>
      </c>
      <c r="G603" s="21"/>
    </row>
    <row r="604" ht="15.75" customHeight="1">
      <c r="A604" s="20" t="s">
        <v>4935</v>
      </c>
      <c r="B604" s="21" t="s">
        <v>387</v>
      </c>
      <c r="C604" s="21" t="s">
        <v>390</v>
      </c>
      <c r="D604" s="21" t="s">
        <v>7</v>
      </c>
      <c r="E604" s="21" t="s">
        <v>4936</v>
      </c>
      <c r="F604" s="21" t="s">
        <v>4937</v>
      </c>
      <c r="G604" s="21"/>
    </row>
    <row r="605" ht="15.75" customHeight="1">
      <c r="A605" s="20" t="s">
        <v>4938</v>
      </c>
      <c r="B605" s="21" t="s">
        <v>387</v>
      </c>
      <c r="C605" s="21" t="s">
        <v>390</v>
      </c>
      <c r="D605" s="21" t="s">
        <v>7</v>
      </c>
      <c r="E605" s="21" t="s">
        <v>4939</v>
      </c>
      <c r="F605" s="21" t="s">
        <v>4940</v>
      </c>
      <c r="G605" s="21"/>
    </row>
    <row r="606" ht="15.75" customHeight="1">
      <c r="A606" s="20" t="s">
        <v>4941</v>
      </c>
      <c r="B606" s="21" t="s">
        <v>413</v>
      </c>
      <c r="C606" s="21" t="s">
        <v>415</v>
      </c>
      <c r="D606" s="21" t="s">
        <v>7</v>
      </c>
      <c r="E606" s="21" t="s">
        <v>4942</v>
      </c>
      <c r="F606" s="21" t="s">
        <v>4943</v>
      </c>
      <c r="G606" s="21"/>
    </row>
    <row r="607" ht="15.75" customHeight="1">
      <c r="A607" s="20" t="s">
        <v>4944</v>
      </c>
      <c r="B607" s="21" t="s">
        <v>413</v>
      </c>
      <c r="C607" s="21" t="s">
        <v>415</v>
      </c>
      <c r="D607" s="21" t="s">
        <v>7</v>
      </c>
      <c r="E607" s="21" t="s">
        <v>4945</v>
      </c>
      <c r="F607" s="21"/>
      <c r="G607" s="21"/>
    </row>
    <row r="608" ht="15.75" customHeight="1">
      <c r="A608" s="20" t="s">
        <v>4946</v>
      </c>
      <c r="B608" s="21" t="s">
        <v>413</v>
      </c>
      <c r="C608" s="21" t="s">
        <v>415</v>
      </c>
      <c r="D608" s="21" t="s">
        <v>7</v>
      </c>
      <c r="E608" s="21" t="s">
        <v>4947</v>
      </c>
      <c r="F608" s="21" t="s">
        <v>4948</v>
      </c>
      <c r="G608" s="21"/>
    </row>
    <row r="609" ht="15.75" customHeight="1">
      <c r="A609" s="20" t="s">
        <v>4949</v>
      </c>
      <c r="B609" s="21" t="s">
        <v>413</v>
      </c>
      <c r="C609" s="21" t="s">
        <v>415</v>
      </c>
      <c r="D609" s="21" t="s">
        <v>7</v>
      </c>
      <c r="E609" s="21" t="s">
        <v>4950</v>
      </c>
      <c r="F609" s="21" t="s">
        <v>4951</v>
      </c>
      <c r="G609" s="21"/>
    </row>
    <row r="610" ht="15.75" customHeight="1">
      <c r="A610" s="20" t="s">
        <v>4952</v>
      </c>
      <c r="B610" s="21" t="s">
        <v>413</v>
      </c>
      <c r="C610" s="21" t="s">
        <v>415</v>
      </c>
      <c r="D610" s="21" t="s">
        <v>7</v>
      </c>
      <c r="E610" s="21" t="s">
        <v>4953</v>
      </c>
      <c r="F610" s="21" t="s">
        <v>4954</v>
      </c>
      <c r="G610" s="21"/>
    </row>
    <row r="611" ht="15.75" customHeight="1">
      <c r="A611" s="20" t="s">
        <v>4955</v>
      </c>
      <c r="B611" s="21" t="s">
        <v>413</v>
      </c>
      <c r="C611" s="21" t="s">
        <v>415</v>
      </c>
      <c r="D611" s="21" t="s">
        <v>7</v>
      </c>
      <c r="E611" s="21" t="s">
        <v>4956</v>
      </c>
      <c r="F611" s="21" t="s">
        <v>4957</v>
      </c>
      <c r="G611" s="21"/>
    </row>
    <row r="612" ht="15.75" customHeight="1">
      <c r="A612" s="20" t="s">
        <v>4958</v>
      </c>
      <c r="B612" s="21" t="s">
        <v>413</v>
      </c>
      <c r="C612" s="21" t="s">
        <v>415</v>
      </c>
      <c r="D612" s="21" t="s">
        <v>7</v>
      </c>
      <c r="E612" s="21" t="s">
        <v>4959</v>
      </c>
      <c r="F612" s="21" t="s">
        <v>4960</v>
      </c>
      <c r="G612" s="21"/>
    </row>
    <row r="613" ht="15.75" customHeight="1">
      <c r="A613" s="20" t="s">
        <v>4961</v>
      </c>
      <c r="B613" s="21" t="s">
        <v>413</v>
      </c>
      <c r="C613" s="21" t="s">
        <v>415</v>
      </c>
      <c r="D613" s="21" t="s">
        <v>7</v>
      </c>
      <c r="E613" s="21" t="s">
        <v>4962</v>
      </c>
      <c r="F613" s="21" t="s">
        <v>4963</v>
      </c>
      <c r="G613" s="21"/>
    </row>
    <row r="614" ht="15.75" customHeight="1">
      <c r="A614" s="20" t="s">
        <v>1473</v>
      </c>
      <c r="B614" s="21" t="s">
        <v>413</v>
      </c>
      <c r="C614" s="21" t="s">
        <v>415</v>
      </c>
      <c r="D614" s="21" t="s">
        <v>7</v>
      </c>
      <c r="E614" s="21" t="s">
        <v>4964</v>
      </c>
      <c r="F614" s="21" t="s">
        <v>4965</v>
      </c>
      <c r="G614" s="21"/>
    </row>
    <row r="615" ht="15.75" customHeight="1">
      <c r="A615" s="20" t="s">
        <v>4966</v>
      </c>
      <c r="B615" s="21" t="s">
        <v>413</v>
      </c>
      <c r="C615" s="21" t="s">
        <v>415</v>
      </c>
      <c r="D615" s="21" t="s">
        <v>7</v>
      </c>
      <c r="E615" s="21" t="s">
        <v>4967</v>
      </c>
      <c r="F615" s="21" t="s">
        <v>4968</v>
      </c>
      <c r="G615" s="21"/>
    </row>
    <row r="616" ht="15.75" customHeight="1">
      <c r="A616" s="20" t="s">
        <v>4969</v>
      </c>
      <c r="B616" s="21" t="s">
        <v>413</v>
      </c>
      <c r="C616" s="21" t="s">
        <v>415</v>
      </c>
      <c r="D616" s="21" t="s">
        <v>7</v>
      </c>
      <c r="E616" s="21" t="s">
        <v>4970</v>
      </c>
      <c r="F616" s="21" t="s">
        <v>4971</v>
      </c>
      <c r="G616" s="21"/>
    </row>
    <row r="617" ht="15.75" customHeight="1">
      <c r="A617" s="20" t="s">
        <v>4330</v>
      </c>
      <c r="B617" s="21" t="s">
        <v>413</v>
      </c>
      <c r="C617" s="21" t="s">
        <v>415</v>
      </c>
      <c r="D617" s="21" t="s">
        <v>7</v>
      </c>
      <c r="E617" s="21" t="s">
        <v>4972</v>
      </c>
      <c r="F617" s="21" t="s">
        <v>4973</v>
      </c>
      <c r="G617" s="21"/>
    </row>
    <row r="618" ht="15.75" customHeight="1">
      <c r="A618" s="20" t="s">
        <v>4974</v>
      </c>
      <c r="B618" s="21" t="s">
        <v>413</v>
      </c>
      <c r="C618" s="21" t="s">
        <v>415</v>
      </c>
      <c r="D618" s="21" t="s">
        <v>7</v>
      </c>
      <c r="E618" s="21" t="s">
        <v>4975</v>
      </c>
      <c r="F618" s="21" t="s">
        <v>4976</v>
      </c>
      <c r="G618" s="21"/>
    </row>
    <row r="619" ht="15.75" customHeight="1">
      <c r="A619" s="20" t="s">
        <v>4977</v>
      </c>
      <c r="B619" s="21" t="s">
        <v>413</v>
      </c>
      <c r="C619" s="21" t="s">
        <v>415</v>
      </c>
      <c r="D619" s="21" t="s">
        <v>7</v>
      </c>
      <c r="E619" s="21" t="s">
        <v>4978</v>
      </c>
      <c r="F619" s="21" t="s">
        <v>4979</v>
      </c>
      <c r="G619" s="21"/>
    </row>
    <row r="620" ht="15.75" customHeight="1">
      <c r="A620" s="20" t="s">
        <v>4980</v>
      </c>
      <c r="B620" s="21" t="s">
        <v>413</v>
      </c>
      <c r="C620" s="21" t="s">
        <v>415</v>
      </c>
      <c r="D620" s="21" t="s">
        <v>7</v>
      </c>
      <c r="E620" s="21" t="s">
        <v>4981</v>
      </c>
      <c r="F620" s="21" t="s">
        <v>4982</v>
      </c>
      <c r="G620" s="21"/>
    </row>
    <row r="621" ht="15.75" customHeight="1">
      <c r="A621" s="20" t="s">
        <v>4983</v>
      </c>
      <c r="B621" s="21" t="s">
        <v>413</v>
      </c>
      <c r="C621" s="21" t="s">
        <v>415</v>
      </c>
      <c r="D621" s="21" t="s">
        <v>7</v>
      </c>
      <c r="E621" s="21" t="s">
        <v>4984</v>
      </c>
      <c r="F621" s="21" t="s">
        <v>4985</v>
      </c>
      <c r="G621" s="21"/>
    </row>
    <row r="622" ht="15.75" customHeight="1">
      <c r="A622" s="20" t="s">
        <v>4986</v>
      </c>
      <c r="B622" s="21" t="s">
        <v>413</v>
      </c>
      <c r="C622" s="21" t="s">
        <v>415</v>
      </c>
      <c r="D622" s="21" t="s">
        <v>7</v>
      </c>
      <c r="E622" s="21" t="s">
        <v>4987</v>
      </c>
      <c r="F622" s="21" t="s">
        <v>4988</v>
      </c>
      <c r="G622" s="21"/>
    </row>
    <row r="623" ht="15.75" customHeight="1">
      <c r="A623" s="20" t="s">
        <v>4989</v>
      </c>
      <c r="B623" s="21" t="s">
        <v>413</v>
      </c>
      <c r="C623" s="21" t="s">
        <v>415</v>
      </c>
      <c r="D623" s="21" t="s">
        <v>7</v>
      </c>
      <c r="E623" s="21" t="s">
        <v>4990</v>
      </c>
      <c r="F623" s="21" t="s">
        <v>4991</v>
      </c>
      <c r="G623" s="21"/>
    </row>
    <row r="624" ht="15.75" customHeight="1">
      <c r="A624" s="20" t="s">
        <v>4992</v>
      </c>
      <c r="B624" s="21" t="s">
        <v>413</v>
      </c>
      <c r="C624" s="21" t="s">
        <v>415</v>
      </c>
      <c r="D624" s="21" t="s">
        <v>7</v>
      </c>
      <c r="E624" s="21" t="s">
        <v>4993</v>
      </c>
      <c r="F624" s="21" t="s">
        <v>4994</v>
      </c>
      <c r="G624" s="21"/>
    </row>
    <row r="625" ht="15.75" customHeight="1">
      <c r="A625" s="20" t="s">
        <v>4995</v>
      </c>
      <c r="B625" s="21" t="s">
        <v>413</v>
      </c>
      <c r="C625" s="21" t="s">
        <v>415</v>
      </c>
      <c r="D625" s="21" t="s">
        <v>7</v>
      </c>
      <c r="E625" s="21" t="s">
        <v>4996</v>
      </c>
      <c r="F625" s="21" t="s">
        <v>4997</v>
      </c>
      <c r="G625" s="21"/>
    </row>
    <row r="626" ht="15.75" customHeight="1">
      <c r="A626" s="20" t="s">
        <v>4998</v>
      </c>
      <c r="B626" s="21" t="s">
        <v>413</v>
      </c>
      <c r="C626" s="21" t="s">
        <v>415</v>
      </c>
      <c r="D626" s="21" t="s">
        <v>7</v>
      </c>
      <c r="E626" s="21" t="s">
        <v>4999</v>
      </c>
      <c r="F626" s="21" t="s">
        <v>5000</v>
      </c>
      <c r="G626" s="21"/>
    </row>
    <row r="627" ht="15.75" customHeight="1">
      <c r="A627" s="20" t="s">
        <v>5001</v>
      </c>
      <c r="B627" s="21" t="s">
        <v>413</v>
      </c>
      <c r="C627" s="21" t="s">
        <v>415</v>
      </c>
      <c r="D627" s="21" t="s">
        <v>7</v>
      </c>
      <c r="E627" s="21" t="s">
        <v>5002</v>
      </c>
      <c r="F627" s="21" t="s">
        <v>5003</v>
      </c>
      <c r="G627" s="21"/>
    </row>
    <row r="628" ht="15.75" customHeight="1">
      <c r="A628" s="20" t="s">
        <v>5004</v>
      </c>
      <c r="B628" s="21" t="s">
        <v>413</v>
      </c>
      <c r="C628" s="21" t="s">
        <v>415</v>
      </c>
      <c r="D628" s="21" t="s">
        <v>7</v>
      </c>
      <c r="E628" s="21" t="s">
        <v>5005</v>
      </c>
      <c r="F628" s="21" t="s">
        <v>5006</v>
      </c>
      <c r="G628" s="21"/>
    </row>
    <row r="629" ht="15.75" customHeight="1">
      <c r="A629" s="20" t="s">
        <v>5007</v>
      </c>
      <c r="B629" s="21" t="s">
        <v>413</v>
      </c>
      <c r="C629" s="21" t="s">
        <v>415</v>
      </c>
      <c r="D629" s="21" t="s">
        <v>7</v>
      </c>
      <c r="E629" s="21" t="s">
        <v>5008</v>
      </c>
      <c r="F629" s="21" t="s">
        <v>5009</v>
      </c>
      <c r="G629" s="21"/>
    </row>
    <row r="630" ht="15.75" customHeight="1">
      <c r="A630" s="20" t="s">
        <v>5010</v>
      </c>
      <c r="B630" s="21" t="s">
        <v>413</v>
      </c>
      <c r="C630" s="21" t="s">
        <v>415</v>
      </c>
      <c r="D630" s="21" t="s">
        <v>7</v>
      </c>
      <c r="E630" s="21" t="s">
        <v>5011</v>
      </c>
      <c r="F630" s="21" t="s">
        <v>5012</v>
      </c>
      <c r="G630" s="21"/>
    </row>
    <row r="631" ht="15.75" customHeight="1">
      <c r="A631" s="20" t="s">
        <v>5013</v>
      </c>
      <c r="B631" s="21" t="s">
        <v>413</v>
      </c>
      <c r="C631" s="21" t="s">
        <v>415</v>
      </c>
      <c r="D631" s="21" t="s">
        <v>7</v>
      </c>
      <c r="E631" s="21" t="s">
        <v>5014</v>
      </c>
      <c r="F631" s="21" t="s">
        <v>5015</v>
      </c>
      <c r="G631" s="21"/>
    </row>
    <row r="632" ht="15.75" customHeight="1">
      <c r="A632" s="20" t="s">
        <v>5016</v>
      </c>
      <c r="B632" s="21" t="s">
        <v>413</v>
      </c>
      <c r="C632" s="21" t="s">
        <v>415</v>
      </c>
      <c r="D632" s="21" t="s">
        <v>7</v>
      </c>
      <c r="E632" s="21" t="s">
        <v>5017</v>
      </c>
      <c r="F632" s="21" t="s">
        <v>5018</v>
      </c>
      <c r="G632" s="21"/>
    </row>
    <row r="633" ht="15.75" customHeight="1">
      <c r="A633" s="20" t="s">
        <v>5019</v>
      </c>
      <c r="B633" s="21" t="s">
        <v>413</v>
      </c>
      <c r="C633" s="21" t="s">
        <v>415</v>
      </c>
      <c r="D633" s="21" t="s">
        <v>7</v>
      </c>
      <c r="E633" s="21" t="s">
        <v>5020</v>
      </c>
      <c r="F633" s="21" t="s">
        <v>5021</v>
      </c>
      <c r="G633" s="21"/>
    </row>
    <row r="634" ht="15.75" customHeight="1">
      <c r="A634" s="20" t="s">
        <v>5022</v>
      </c>
      <c r="B634" s="21" t="s">
        <v>413</v>
      </c>
      <c r="C634" s="21" t="s">
        <v>415</v>
      </c>
      <c r="D634" s="21" t="s">
        <v>7</v>
      </c>
      <c r="E634" s="21" t="s">
        <v>5023</v>
      </c>
      <c r="F634" s="21" t="s">
        <v>5024</v>
      </c>
      <c r="G634" s="21"/>
    </row>
    <row r="635" ht="15.75" customHeight="1">
      <c r="A635" s="20" t="s">
        <v>5025</v>
      </c>
      <c r="B635" s="21" t="s">
        <v>413</v>
      </c>
      <c r="C635" s="21" t="s">
        <v>415</v>
      </c>
      <c r="D635" s="21" t="s">
        <v>7</v>
      </c>
      <c r="E635" s="21" t="s">
        <v>5026</v>
      </c>
      <c r="F635" s="21" t="s">
        <v>5027</v>
      </c>
      <c r="G635" s="21"/>
    </row>
    <row r="636" ht="15.75" customHeight="1">
      <c r="A636" s="20" t="s">
        <v>5028</v>
      </c>
      <c r="B636" s="21" t="s">
        <v>5029</v>
      </c>
      <c r="C636" s="21" t="s">
        <v>5030</v>
      </c>
      <c r="D636" s="21" t="s">
        <v>7</v>
      </c>
      <c r="E636" s="21" t="s">
        <v>5031</v>
      </c>
      <c r="F636" s="21" t="s">
        <v>5032</v>
      </c>
      <c r="G636" s="21"/>
    </row>
    <row r="637" ht="15.75" customHeight="1">
      <c r="A637" s="20" t="s">
        <v>5033</v>
      </c>
      <c r="B637" s="21" t="s">
        <v>5034</v>
      </c>
      <c r="C637" s="21" t="s">
        <v>2734</v>
      </c>
      <c r="D637" s="21" t="s">
        <v>7</v>
      </c>
      <c r="E637" s="21" t="s">
        <v>5035</v>
      </c>
      <c r="F637" s="21" t="s">
        <v>5036</v>
      </c>
      <c r="G637" s="21"/>
    </row>
    <row r="638" ht="15.75" customHeight="1">
      <c r="A638" s="20" t="s">
        <v>5037</v>
      </c>
      <c r="B638" s="21" t="s">
        <v>5034</v>
      </c>
      <c r="C638" s="21" t="s">
        <v>2734</v>
      </c>
      <c r="D638" s="21" t="s">
        <v>7</v>
      </c>
      <c r="E638" s="21" t="s">
        <v>5038</v>
      </c>
      <c r="F638" s="21" t="s">
        <v>5039</v>
      </c>
      <c r="G638" s="21"/>
    </row>
    <row r="639" ht="15.75" customHeight="1">
      <c r="A639" s="20" t="s">
        <v>5040</v>
      </c>
      <c r="B639" s="21" t="s">
        <v>5034</v>
      </c>
      <c r="C639" s="21" t="s">
        <v>2734</v>
      </c>
      <c r="D639" s="21" t="s">
        <v>7</v>
      </c>
      <c r="E639" s="21" t="s">
        <v>5041</v>
      </c>
      <c r="F639" s="21" t="s">
        <v>5042</v>
      </c>
      <c r="G639" s="21"/>
    </row>
    <row r="640" ht="15.75" customHeight="1">
      <c r="A640" s="20" t="s">
        <v>5043</v>
      </c>
      <c r="B640" s="21" t="s">
        <v>5034</v>
      </c>
      <c r="C640" s="21" t="s">
        <v>2734</v>
      </c>
      <c r="D640" s="21" t="s">
        <v>7</v>
      </c>
      <c r="E640" s="21" t="s">
        <v>5044</v>
      </c>
      <c r="F640" s="21" t="s">
        <v>5045</v>
      </c>
      <c r="G640" s="21"/>
    </row>
    <row r="641" ht="15.75" customHeight="1">
      <c r="A641" s="20" t="s">
        <v>5046</v>
      </c>
      <c r="B641" s="21" t="s">
        <v>5047</v>
      </c>
      <c r="C641" s="21" t="s">
        <v>639</v>
      </c>
      <c r="D641" s="21" t="s">
        <v>7</v>
      </c>
      <c r="E641" s="21" t="s">
        <v>5048</v>
      </c>
      <c r="F641" s="21" t="s">
        <v>5049</v>
      </c>
      <c r="G641" s="21"/>
    </row>
    <row r="642" ht="15.75" customHeight="1">
      <c r="A642" s="20" t="s">
        <v>5050</v>
      </c>
      <c r="B642" s="21" t="s">
        <v>5051</v>
      </c>
      <c r="C642" s="21" t="s">
        <v>2599</v>
      </c>
      <c r="D642" s="21" t="s">
        <v>7</v>
      </c>
      <c r="E642" s="21" t="s">
        <v>5052</v>
      </c>
      <c r="F642" s="21" t="s">
        <v>5053</v>
      </c>
      <c r="G642" s="21"/>
    </row>
    <row r="643" ht="15.75" customHeight="1">
      <c r="A643" s="20" t="s">
        <v>5054</v>
      </c>
      <c r="B643" s="21" t="s">
        <v>5055</v>
      </c>
      <c r="C643" s="21" t="s">
        <v>735</v>
      </c>
      <c r="D643" s="21" t="s">
        <v>7</v>
      </c>
      <c r="E643" s="21" t="s">
        <v>5056</v>
      </c>
      <c r="F643" s="21" t="s">
        <v>5057</v>
      </c>
      <c r="G643" s="21"/>
    </row>
    <row r="644" ht="15.75" customHeight="1">
      <c r="A644" s="20" t="s">
        <v>5058</v>
      </c>
      <c r="B644" s="21" t="s">
        <v>5055</v>
      </c>
      <c r="C644" s="21">
        <v>44400.0</v>
      </c>
      <c r="D644" s="21" t="s">
        <v>7</v>
      </c>
      <c r="E644" s="21" t="s">
        <v>5059</v>
      </c>
      <c r="F644" s="21" t="s">
        <v>5060</v>
      </c>
      <c r="G644" s="21"/>
    </row>
    <row r="645" ht="15.75" customHeight="1">
      <c r="A645" s="20" t="s">
        <v>5061</v>
      </c>
      <c r="B645" s="21" t="s">
        <v>5055</v>
      </c>
      <c r="C645" s="21">
        <v>44400.0</v>
      </c>
      <c r="D645" s="21" t="s">
        <v>7</v>
      </c>
      <c r="E645" s="21" t="s">
        <v>5062</v>
      </c>
      <c r="F645" s="21" t="s">
        <v>5063</v>
      </c>
      <c r="G645" s="21"/>
    </row>
    <row r="646" ht="15.75" customHeight="1">
      <c r="A646" s="20" t="s">
        <v>5064</v>
      </c>
      <c r="B646" s="21" t="s">
        <v>5065</v>
      </c>
      <c r="C646" s="21" t="s">
        <v>639</v>
      </c>
      <c r="D646" s="21" t="s">
        <v>7</v>
      </c>
      <c r="E646" s="21" t="s">
        <v>5066</v>
      </c>
      <c r="F646" s="21"/>
      <c r="G646" s="21"/>
    </row>
    <row r="647" ht="15.75" customHeight="1">
      <c r="A647" s="20" t="s">
        <v>5067</v>
      </c>
      <c r="B647" s="21" t="s">
        <v>5065</v>
      </c>
      <c r="C647" s="21" t="s">
        <v>639</v>
      </c>
      <c r="D647" s="21" t="s">
        <v>7</v>
      </c>
      <c r="E647" s="21" t="s">
        <v>5068</v>
      </c>
      <c r="F647" s="21" t="s">
        <v>5069</v>
      </c>
      <c r="G647" s="21"/>
    </row>
    <row r="648" ht="15.75" customHeight="1">
      <c r="A648" s="20" t="s">
        <v>5070</v>
      </c>
      <c r="B648" s="21" t="s">
        <v>5071</v>
      </c>
      <c r="C648" s="21" t="s">
        <v>102</v>
      </c>
      <c r="D648" s="21" t="s">
        <v>7</v>
      </c>
      <c r="E648" s="21" t="s">
        <v>5072</v>
      </c>
      <c r="F648" s="21" t="s">
        <v>5073</v>
      </c>
      <c r="G648" s="21"/>
    </row>
    <row r="649" ht="15.75" customHeight="1">
      <c r="A649" s="20" t="s">
        <v>5074</v>
      </c>
      <c r="B649" s="21" t="s">
        <v>5075</v>
      </c>
      <c r="C649" s="21" t="s">
        <v>814</v>
      </c>
      <c r="D649" s="21" t="s">
        <v>7</v>
      </c>
      <c r="E649" s="21" t="s">
        <v>5076</v>
      </c>
      <c r="F649" s="21" t="s">
        <v>5077</v>
      </c>
      <c r="G649" s="21"/>
    </row>
    <row r="650" ht="15.75" customHeight="1">
      <c r="A650" s="20" t="s">
        <v>5078</v>
      </c>
      <c r="B650" s="21" t="s">
        <v>5075</v>
      </c>
      <c r="C650" s="21">
        <v>44800.0</v>
      </c>
      <c r="D650" s="21" t="s">
        <v>7</v>
      </c>
      <c r="E650" s="21" t="s">
        <v>5079</v>
      </c>
      <c r="F650" s="21" t="s">
        <v>5080</v>
      </c>
      <c r="G650" s="21"/>
    </row>
    <row r="651" ht="15.75" customHeight="1">
      <c r="A651" s="20" t="s">
        <v>5078</v>
      </c>
      <c r="B651" s="21" t="s">
        <v>5075</v>
      </c>
      <c r="C651" s="21">
        <v>44800.0</v>
      </c>
      <c r="D651" s="21" t="s">
        <v>7</v>
      </c>
      <c r="E651" s="21" t="s">
        <v>5081</v>
      </c>
      <c r="F651" s="21" t="s">
        <v>5080</v>
      </c>
      <c r="G651" s="21"/>
    </row>
    <row r="652" ht="15.75" customHeight="1">
      <c r="A652" s="20" t="s">
        <v>5082</v>
      </c>
      <c r="B652" s="21" t="s">
        <v>5083</v>
      </c>
      <c r="C652" s="21" t="s">
        <v>5084</v>
      </c>
      <c r="D652" s="21" t="s">
        <v>7</v>
      </c>
      <c r="E652" s="21" t="s">
        <v>5085</v>
      </c>
      <c r="F652" s="21" t="s">
        <v>5086</v>
      </c>
      <c r="G652" s="21"/>
    </row>
    <row r="653" ht="15.75" customHeight="1">
      <c r="A653" s="20" t="s">
        <v>5087</v>
      </c>
      <c r="B653" s="21" t="s">
        <v>5083</v>
      </c>
      <c r="C653" s="21" t="s">
        <v>5084</v>
      </c>
      <c r="D653" s="21" t="s">
        <v>7</v>
      </c>
      <c r="E653" s="21" t="s">
        <v>5088</v>
      </c>
      <c r="F653" s="21" t="s">
        <v>5089</v>
      </c>
      <c r="G653" s="21"/>
    </row>
    <row r="654" ht="15.75" customHeight="1">
      <c r="A654" s="20" t="s">
        <v>5090</v>
      </c>
      <c r="B654" s="21" t="s">
        <v>5083</v>
      </c>
      <c r="C654" s="21" t="s">
        <v>5084</v>
      </c>
      <c r="D654" s="21" t="s">
        <v>7</v>
      </c>
      <c r="E654" s="21" t="s">
        <v>5091</v>
      </c>
      <c r="F654" s="21" t="s">
        <v>5092</v>
      </c>
      <c r="G654" s="21"/>
    </row>
    <row r="655" ht="15.75" customHeight="1">
      <c r="A655" s="20" t="s">
        <v>5093</v>
      </c>
      <c r="B655" s="21" t="s">
        <v>5083</v>
      </c>
      <c r="C655" s="21" t="s">
        <v>5084</v>
      </c>
      <c r="D655" s="21" t="s">
        <v>7</v>
      </c>
      <c r="E655" s="21" t="s">
        <v>5094</v>
      </c>
      <c r="F655" s="21" t="s">
        <v>5095</v>
      </c>
      <c r="G655" s="21"/>
    </row>
    <row r="656" ht="15.75" customHeight="1">
      <c r="A656" s="20" t="s">
        <v>5096</v>
      </c>
      <c r="B656" s="21" t="s">
        <v>430</v>
      </c>
      <c r="C656" s="21" t="s">
        <v>432</v>
      </c>
      <c r="D656" s="21" t="s">
        <v>7</v>
      </c>
      <c r="E656" s="21" t="s">
        <v>5097</v>
      </c>
      <c r="F656" s="21"/>
      <c r="G656" s="21"/>
    </row>
    <row r="657" ht="15.75" customHeight="1">
      <c r="A657" s="20" t="s">
        <v>5098</v>
      </c>
      <c r="B657" s="21" t="s">
        <v>430</v>
      </c>
      <c r="C657" s="21" t="s">
        <v>3627</v>
      </c>
      <c r="D657" s="21" t="s">
        <v>7</v>
      </c>
      <c r="E657" s="21" t="s">
        <v>5099</v>
      </c>
      <c r="F657" s="21" t="s">
        <v>5100</v>
      </c>
      <c r="G657" s="21"/>
    </row>
    <row r="658" ht="15.75" customHeight="1">
      <c r="A658" s="20" t="s">
        <v>5101</v>
      </c>
      <c r="B658" s="21" t="s">
        <v>430</v>
      </c>
      <c r="C658" s="21" t="s">
        <v>432</v>
      </c>
      <c r="D658" s="21" t="s">
        <v>7</v>
      </c>
      <c r="E658" s="21" t="s">
        <v>5102</v>
      </c>
      <c r="F658" s="21"/>
      <c r="G658" s="21"/>
    </row>
    <row r="659" ht="15.75" customHeight="1">
      <c r="A659" s="20" t="s">
        <v>5103</v>
      </c>
      <c r="B659" s="21" t="s">
        <v>430</v>
      </c>
      <c r="C659" s="21" t="s">
        <v>432</v>
      </c>
      <c r="D659" s="21" t="s">
        <v>7</v>
      </c>
      <c r="E659" s="21" t="s">
        <v>5104</v>
      </c>
      <c r="F659" s="21"/>
      <c r="G659" s="21"/>
    </row>
    <row r="660" ht="15.75" customHeight="1">
      <c r="A660" s="20" t="s">
        <v>5105</v>
      </c>
      <c r="B660" s="21" t="s">
        <v>430</v>
      </c>
      <c r="C660" s="21" t="s">
        <v>432</v>
      </c>
      <c r="D660" s="21" t="s">
        <v>7</v>
      </c>
      <c r="E660" s="21" t="s">
        <v>5106</v>
      </c>
      <c r="F660" s="21" t="s">
        <v>5107</v>
      </c>
      <c r="G660" s="21"/>
    </row>
    <row r="661" ht="15.75" customHeight="1">
      <c r="A661" s="20" t="s">
        <v>5108</v>
      </c>
      <c r="B661" s="21" t="s">
        <v>430</v>
      </c>
      <c r="C661" s="21" t="s">
        <v>432</v>
      </c>
      <c r="D661" s="21" t="s">
        <v>7</v>
      </c>
      <c r="E661" s="21" t="s">
        <v>5109</v>
      </c>
      <c r="F661" s="21" t="s">
        <v>5110</v>
      </c>
      <c r="G661" s="21"/>
    </row>
    <row r="662" ht="15.75" customHeight="1">
      <c r="A662" s="20" t="s">
        <v>5111</v>
      </c>
      <c r="B662" s="21" t="s">
        <v>430</v>
      </c>
      <c r="C662" s="21" t="s">
        <v>432</v>
      </c>
      <c r="D662" s="21" t="s">
        <v>7</v>
      </c>
      <c r="E662" s="21" t="s">
        <v>5112</v>
      </c>
      <c r="F662" s="21"/>
      <c r="G662" s="21"/>
    </row>
    <row r="663" ht="15.75" customHeight="1">
      <c r="A663" s="20" t="s">
        <v>5113</v>
      </c>
      <c r="B663" s="21" t="s">
        <v>430</v>
      </c>
      <c r="C663" s="21" t="s">
        <v>432</v>
      </c>
      <c r="D663" s="21" t="s">
        <v>7</v>
      </c>
      <c r="E663" s="21" t="s">
        <v>5114</v>
      </c>
      <c r="F663" s="21" t="s">
        <v>5115</v>
      </c>
      <c r="G663" s="21"/>
    </row>
    <row r="664" ht="15.75" customHeight="1">
      <c r="A664" s="20" t="s">
        <v>5116</v>
      </c>
      <c r="B664" s="21" t="s">
        <v>430</v>
      </c>
      <c r="C664" s="21" t="s">
        <v>432</v>
      </c>
      <c r="D664" s="21" t="s">
        <v>7</v>
      </c>
      <c r="E664" s="21" t="s">
        <v>5117</v>
      </c>
      <c r="F664" s="21" t="s">
        <v>5118</v>
      </c>
      <c r="G664" s="21"/>
    </row>
    <row r="665" ht="15.75" customHeight="1">
      <c r="A665" s="20" t="s">
        <v>5119</v>
      </c>
      <c r="B665" s="21" t="s">
        <v>430</v>
      </c>
      <c r="C665" s="21" t="s">
        <v>432</v>
      </c>
      <c r="D665" s="21" t="s">
        <v>7</v>
      </c>
      <c r="E665" s="21" t="s">
        <v>5120</v>
      </c>
      <c r="F665" s="21" t="s">
        <v>5121</v>
      </c>
      <c r="G665" s="21"/>
    </row>
    <row r="666" ht="15.75" customHeight="1">
      <c r="A666" s="20" t="s">
        <v>5122</v>
      </c>
      <c r="B666" s="21" t="s">
        <v>430</v>
      </c>
      <c r="C666" s="21" t="s">
        <v>432</v>
      </c>
      <c r="D666" s="21" t="s">
        <v>7</v>
      </c>
      <c r="E666" s="21" t="s">
        <v>5123</v>
      </c>
      <c r="F666" s="21" t="s">
        <v>5124</v>
      </c>
      <c r="G666" s="21"/>
    </row>
    <row r="667" ht="15.75" customHeight="1">
      <c r="A667" s="20" t="s">
        <v>5125</v>
      </c>
      <c r="B667" s="21" t="s">
        <v>430</v>
      </c>
      <c r="C667" s="21" t="s">
        <v>432</v>
      </c>
      <c r="D667" s="21" t="s">
        <v>7</v>
      </c>
      <c r="E667" s="21" t="s">
        <v>5126</v>
      </c>
      <c r="F667" s="21" t="s">
        <v>5127</v>
      </c>
      <c r="G667" s="21"/>
    </row>
    <row r="668" ht="15.75" customHeight="1">
      <c r="A668" s="20" t="s">
        <v>5128</v>
      </c>
      <c r="B668" s="21" t="s">
        <v>430</v>
      </c>
      <c r="C668" s="21" t="s">
        <v>432</v>
      </c>
      <c r="D668" s="21" t="s">
        <v>7</v>
      </c>
      <c r="E668" s="21" t="s">
        <v>5129</v>
      </c>
      <c r="F668" s="21" t="s">
        <v>5130</v>
      </c>
      <c r="G668" s="21"/>
    </row>
    <row r="669" ht="15.75" customHeight="1">
      <c r="A669" s="20" t="s">
        <v>5131</v>
      </c>
      <c r="B669" s="21" t="s">
        <v>430</v>
      </c>
      <c r="C669" s="21" t="s">
        <v>432</v>
      </c>
      <c r="D669" s="21" t="s">
        <v>7</v>
      </c>
      <c r="E669" s="21" t="s">
        <v>5132</v>
      </c>
      <c r="F669" s="21" t="s">
        <v>5133</v>
      </c>
      <c r="G669" s="21"/>
    </row>
    <row r="670" ht="15.75" customHeight="1">
      <c r="A670" s="20" t="s">
        <v>5134</v>
      </c>
      <c r="B670" s="21" t="s">
        <v>430</v>
      </c>
      <c r="C670" s="21" t="s">
        <v>432</v>
      </c>
      <c r="D670" s="21" t="s">
        <v>7</v>
      </c>
      <c r="E670" s="21" t="s">
        <v>5135</v>
      </c>
      <c r="F670" s="21" t="s">
        <v>5136</v>
      </c>
      <c r="G670" s="21"/>
    </row>
    <row r="671" ht="15.75" customHeight="1">
      <c r="A671" s="20" t="s">
        <v>5137</v>
      </c>
      <c r="B671" s="21" t="s">
        <v>430</v>
      </c>
      <c r="C671" s="21" t="s">
        <v>432</v>
      </c>
      <c r="D671" s="21" t="s">
        <v>7</v>
      </c>
      <c r="E671" s="21" t="s">
        <v>5138</v>
      </c>
      <c r="F671" s="21" t="s">
        <v>5139</v>
      </c>
      <c r="G671" s="21"/>
    </row>
    <row r="672" ht="15.75" customHeight="1">
      <c r="A672" s="20" t="s">
        <v>5140</v>
      </c>
      <c r="B672" s="21" t="s">
        <v>430</v>
      </c>
      <c r="C672" s="21" t="s">
        <v>432</v>
      </c>
      <c r="D672" s="21" t="s">
        <v>7</v>
      </c>
      <c r="E672" s="21" t="s">
        <v>5141</v>
      </c>
      <c r="F672" s="21" t="s">
        <v>5142</v>
      </c>
      <c r="G672" s="21"/>
    </row>
    <row r="673" ht="15.75" customHeight="1">
      <c r="A673" s="20" t="s">
        <v>5143</v>
      </c>
      <c r="B673" s="21" t="s">
        <v>430</v>
      </c>
      <c r="C673" s="21" t="s">
        <v>432</v>
      </c>
      <c r="D673" s="21" t="s">
        <v>7</v>
      </c>
      <c r="E673" s="21" t="s">
        <v>5144</v>
      </c>
      <c r="F673" s="21" t="s">
        <v>5145</v>
      </c>
      <c r="G673" s="21"/>
    </row>
    <row r="674" ht="15.75" customHeight="1">
      <c r="A674" s="20" t="s">
        <v>5146</v>
      </c>
      <c r="B674" s="21" t="s">
        <v>430</v>
      </c>
      <c r="C674" s="21" t="s">
        <v>432</v>
      </c>
      <c r="D674" s="21" t="s">
        <v>7</v>
      </c>
      <c r="E674" s="21" t="s">
        <v>5147</v>
      </c>
      <c r="F674" s="21" t="s">
        <v>5148</v>
      </c>
      <c r="G674" s="21"/>
    </row>
    <row r="675" ht="15.75" customHeight="1">
      <c r="A675" s="20" t="s">
        <v>5149</v>
      </c>
      <c r="B675" s="21" t="s">
        <v>430</v>
      </c>
      <c r="C675" s="21" t="s">
        <v>432</v>
      </c>
      <c r="D675" s="21" t="s">
        <v>7</v>
      </c>
      <c r="E675" s="21" t="s">
        <v>5150</v>
      </c>
      <c r="F675" s="21" t="s">
        <v>5151</v>
      </c>
      <c r="G675" s="21"/>
    </row>
    <row r="676" ht="15.75" customHeight="1">
      <c r="A676" s="20" t="s">
        <v>5152</v>
      </c>
      <c r="B676" s="21" t="s">
        <v>430</v>
      </c>
      <c r="C676" s="21" t="s">
        <v>432</v>
      </c>
      <c r="D676" s="21" t="s">
        <v>7</v>
      </c>
      <c r="E676" s="21" t="s">
        <v>5153</v>
      </c>
      <c r="F676" s="21" t="s">
        <v>5154</v>
      </c>
      <c r="G676" s="21"/>
    </row>
    <row r="677" ht="15.75" customHeight="1">
      <c r="A677" s="20" t="s">
        <v>5155</v>
      </c>
      <c r="B677" s="21" t="s">
        <v>430</v>
      </c>
      <c r="C677" s="21" t="s">
        <v>432</v>
      </c>
      <c r="D677" s="21" t="s">
        <v>7</v>
      </c>
      <c r="E677" s="21" t="s">
        <v>5156</v>
      </c>
      <c r="F677" s="21" t="s">
        <v>5157</v>
      </c>
      <c r="G677" s="21"/>
    </row>
    <row r="678" ht="15.75" customHeight="1">
      <c r="A678" s="20" t="s">
        <v>5158</v>
      </c>
      <c r="B678" s="21" t="s">
        <v>430</v>
      </c>
      <c r="C678" s="21" t="s">
        <v>432</v>
      </c>
      <c r="D678" s="21" t="s">
        <v>7</v>
      </c>
      <c r="E678" s="21" t="s">
        <v>5159</v>
      </c>
      <c r="F678" s="21" t="s">
        <v>5160</v>
      </c>
      <c r="G678" s="21"/>
    </row>
    <row r="679" ht="15.75" customHeight="1">
      <c r="A679" s="20" t="s">
        <v>5161</v>
      </c>
      <c r="B679" s="21" t="s">
        <v>430</v>
      </c>
      <c r="C679" s="21" t="s">
        <v>432</v>
      </c>
      <c r="D679" s="21" t="s">
        <v>7</v>
      </c>
      <c r="E679" s="21" t="s">
        <v>5162</v>
      </c>
      <c r="F679" s="21" t="s">
        <v>5163</v>
      </c>
      <c r="G679" s="21"/>
    </row>
    <row r="680" ht="15.75" customHeight="1">
      <c r="A680" s="20" t="s">
        <v>5164</v>
      </c>
      <c r="B680" s="21" t="s">
        <v>430</v>
      </c>
      <c r="C680" s="21" t="s">
        <v>432</v>
      </c>
      <c r="D680" s="21" t="s">
        <v>7</v>
      </c>
      <c r="E680" s="21" t="s">
        <v>5165</v>
      </c>
      <c r="F680" s="21" t="s">
        <v>5100</v>
      </c>
      <c r="G680" s="21"/>
    </row>
    <row r="681" ht="15.75" customHeight="1">
      <c r="A681" s="20" t="s">
        <v>5166</v>
      </c>
      <c r="B681" s="21" t="s">
        <v>430</v>
      </c>
      <c r="C681" s="21" t="s">
        <v>432</v>
      </c>
      <c r="D681" s="21" t="s">
        <v>7</v>
      </c>
      <c r="E681" s="21" t="s">
        <v>5167</v>
      </c>
      <c r="F681" s="21" t="s">
        <v>5168</v>
      </c>
      <c r="G681" s="21"/>
    </row>
    <row r="682" ht="15.75" customHeight="1">
      <c r="A682" s="20" t="s">
        <v>5169</v>
      </c>
      <c r="B682" s="21" t="s">
        <v>430</v>
      </c>
      <c r="C682" s="21" t="s">
        <v>432</v>
      </c>
      <c r="D682" s="21" t="s">
        <v>7</v>
      </c>
      <c r="E682" s="21" t="s">
        <v>5170</v>
      </c>
      <c r="F682" s="21" t="s">
        <v>5171</v>
      </c>
      <c r="G682" s="21"/>
    </row>
    <row r="683" ht="15.75" customHeight="1">
      <c r="A683" s="20" t="s">
        <v>5172</v>
      </c>
      <c r="B683" s="21" t="s">
        <v>430</v>
      </c>
      <c r="C683" s="21" t="s">
        <v>432</v>
      </c>
      <c r="D683" s="21" t="s">
        <v>7</v>
      </c>
      <c r="E683" s="21" t="s">
        <v>5173</v>
      </c>
      <c r="F683" s="21" t="s">
        <v>5174</v>
      </c>
      <c r="G683" s="21"/>
    </row>
    <row r="684" ht="15.75" customHeight="1">
      <c r="A684" s="20" t="s">
        <v>5175</v>
      </c>
      <c r="B684" s="21" t="s">
        <v>430</v>
      </c>
      <c r="C684" s="21" t="s">
        <v>432</v>
      </c>
      <c r="D684" s="21" t="s">
        <v>7</v>
      </c>
      <c r="E684" s="21" t="s">
        <v>5176</v>
      </c>
      <c r="F684" s="21" t="s">
        <v>5177</v>
      </c>
      <c r="G684" s="21"/>
    </row>
    <row r="685" ht="15.75" customHeight="1">
      <c r="A685" s="20" t="s">
        <v>5178</v>
      </c>
      <c r="B685" s="21" t="s">
        <v>5179</v>
      </c>
      <c r="C685" s="21" t="s">
        <v>541</v>
      </c>
      <c r="D685" s="21" t="s">
        <v>7</v>
      </c>
      <c r="E685" s="21" t="s">
        <v>5180</v>
      </c>
      <c r="F685" s="21" t="s">
        <v>5181</v>
      </c>
      <c r="G685" s="21"/>
    </row>
    <row r="686" ht="15.75" customHeight="1">
      <c r="A686" s="20" t="s">
        <v>5182</v>
      </c>
      <c r="B686" s="21" t="s">
        <v>456</v>
      </c>
      <c r="C686" s="21" t="s">
        <v>171</v>
      </c>
      <c r="D686" s="21" t="s">
        <v>7</v>
      </c>
      <c r="E686" s="21" t="s">
        <v>5183</v>
      </c>
      <c r="F686" s="21"/>
      <c r="G686" s="21"/>
    </row>
    <row r="687" ht="15.75" customHeight="1">
      <c r="A687" s="20" t="s">
        <v>5184</v>
      </c>
      <c r="B687" s="21" t="s">
        <v>5185</v>
      </c>
      <c r="C687" s="21" t="s">
        <v>892</v>
      </c>
      <c r="D687" s="21" t="s">
        <v>7</v>
      </c>
      <c r="E687" s="21" t="s">
        <v>5186</v>
      </c>
      <c r="F687" s="21" t="s">
        <v>5187</v>
      </c>
      <c r="G687" s="21"/>
    </row>
    <row r="688" ht="15.75" customHeight="1">
      <c r="A688" s="20" t="s">
        <v>5188</v>
      </c>
      <c r="B688" s="21" t="s">
        <v>2908</v>
      </c>
      <c r="C688" s="21" t="s">
        <v>5189</v>
      </c>
      <c r="D688" s="21" t="s">
        <v>7</v>
      </c>
      <c r="E688" s="21" t="s">
        <v>5190</v>
      </c>
      <c r="F688" s="21"/>
      <c r="G688" s="21"/>
    </row>
    <row r="689" ht="15.75" customHeight="1">
      <c r="A689" s="20" t="s">
        <v>5191</v>
      </c>
      <c r="B689" s="21" t="s">
        <v>2908</v>
      </c>
      <c r="C689" s="21" t="s">
        <v>5189</v>
      </c>
      <c r="D689" s="21" t="s">
        <v>7</v>
      </c>
      <c r="E689" s="21" t="s">
        <v>5192</v>
      </c>
      <c r="F689" s="21" t="s">
        <v>5193</v>
      </c>
      <c r="G689" s="21"/>
    </row>
    <row r="690" ht="15.75" customHeight="1">
      <c r="A690" s="20" t="s">
        <v>5194</v>
      </c>
      <c r="B690" s="21" t="s">
        <v>475</v>
      </c>
      <c r="C690" s="21" t="s">
        <v>179</v>
      </c>
      <c r="D690" s="21" t="s">
        <v>7</v>
      </c>
      <c r="E690" s="21" t="s">
        <v>5195</v>
      </c>
      <c r="F690" s="21" t="s">
        <v>5196</v>
      </c>
      <c r="G690" s="21"/>
    </row>
    <row r="691" ht="15.75" customHeight="1">
      <c r="A691" s="20" t="s">
        <v>5197</v>
      </c>
      <c r="B691" s="21" t="s">
        <v>475</v>
      </c>
      <c r="C691" s="21" t="s">
        <v>179</v>
      </c>
      <c r="D691" s="21" t="s">
        <v>7</v>
      </c>
      <c r="E691" s="21" t="s">
        <v>5198</v>
      </c>
      <c r="F691" s="21" t="s">
        <v>5199</v>
      </c>
      <c r="G691" s="21"/>
    </row>
    <row r="692" ht="15.75" customHeight="1">
      <c r="A692" s="20" t="s">
        <v>5200</v>
      </c>
      <c r="B692" s="21" t="s">
        <v>475</v>
      </c>
      <c r="C692" s="21" t="s">
        <v>179</v>
      </c>
      <c r="D692" s="21" t="s">
        <v>7</v>
      </c>
      <c r="E692" s="21" t="s">
        <v>5201</v>
      </c>
      <c r="F692" s="21" t="s">
        <v>5202</v>
      </c>
      <c r="G692" s="21"/>
    </row>
    <row r="693" ht="15.75" customHeight="1">
      <c r="A693" s="20" t="s">
        <v>5203</v>
      </c>
      <c r="B693" s="21" t="s">
        <v>475</v>
      </c>
      <c r="C693" s="21" t="s">
        <v>179</v>
      </c>
      <c r="D693" s="21" t="s">
        <v>7</v>
      </c>
      <c r="E693" s="21" t="s">
        <v>5204</v>
      </c>
      <c r="F693" s="21" t="s">
        <v>5205</v>
      </c>
      <c r="G693" s="21"/>
    </row>
    <row r="694" ht="15.75" customHeight="1">
      <c r="A694" s="20" t="s">
        <v>5206</v>
      </c>
      <c r="B694" s="21" t="s">
        <v>475</v>
      </c>
      <c r="C694" s="21" t="s">
        <v>179</v>
      </c>
      <c r="D694" s="21" t="s">
        <v>7</v>
      </c>
      <c r="E694" s="21" t="s">
        <v>5207</v>
      </c>
      <c r="F694" s="21" t="s">
        <v>5208</v>
      </c>
      <c r="G694" s="21"/>
    </row>
    <row r="695" ht="15.75" customHeight="1">
      <c r="A695" s="20" t="s">
        <v>5209</v>
      </c>
      <c r="B695" s="21" t="s">
        <v>475</v>
      </c>
      <c r="C695" s="21" t="s">
        <v>179</v>
      </c>
      <c r="D695" s="21" t="s">
        <v>7</v>
      </c>
      <c r="E695" s="21" t="s">
        <v>5210</v>
      </c>
      <c r="F695" s="21" t="s">
        <v>5211</v>
      </c>
      <c r="G695" s="21" t="s">
        <v>5212</v>
      </c>
    </row>
    <row r="696" ht="15.75" customHeight="1">
      <c r="A696" s="20" t="s">
        <v>5213</v>
      </c>
      <c r="B696" s="21" t="s">
        <v>5214</v>
      </c>
      <c r="C696" s="21" t="s">
        <v>541</v>
      </c>
      <c r="D696" s="21" t="s">
        <v>7</v>
      </c>
      <c r="E696" s="21" t="s">
        <v>5215</v>
      </c>
      <c r="F696" s="21" t="s">
        <v>5216</v>
      </c>
      <c r="G696" s="21"/>
    </row>
    <row r="697" ht="15.75" customHeight="1">
      <c r="A697" s="20" t="s">
        <v>5217</v>
      </c>
      <c r="B697" s="21" t="s">
        <v>2896</v>
      </c>
      <c r="C697" s="21" t="s">
        <v>2897</v>
      </c>
      <c r="D697" s="21" t="s">
        <v>7</v>
      </c>
      <c r="E697" s="21" t="s">
        <v>5218</v>
      </c>
      <c r="F697" s="21" t="s">
        <v>5219</v>
      </c>
      <c r="G697" s="21"/>
    </row>
    <row r="698" ht="15.75" customHeight="1">
      <c r="A698" s="20" t="s">
        <v>5220</v>
      </c>
      <c r="B698" s="21" t="s">
        <v>2896</v>
      </c>
      <c r="C698" s="21" t="s">
        <v>2897</v>
      </c>
      <c r="D698" s="21" t="s">
        <v>7</v>
      </c>
      <c r="E698" s="21" t="s">
        <v>5221</v>
      </c>
      <c r="F698" s="21" t="s">
        <v>5222</v>
      </c>
      <c r="G698" s="21"/>
    </row>
    <row r="699" ht="15.75" customHeight="1">
      <c r="A699" s="20" t="s">
        <v>5223</v>
      </c>
      <c r="B699" s="21" t="s">
        <v>2896</v>
      </c>
      <c r="C699" s="21" t="s">
        <v>2897</v>
      </c>
      <c r="D699" s="21" t="s">
        <v>7</v>
      </c>
      <c r="E699" s="21" t="s">
        <v>5224</v>
      </c>
      <c r="F699" s="21" t="s">
        <v>5225</v>
      </c>
      <c r="G699" s="21"/>
    </row>
    <row r="700" ht="15.75" customHeight="1">
      <c r="A700" s="20" t="s">
        <v>5226</v>
      </c>
      <c r="B700" s="21" t="s">
        <v>2896</v>
      </c>
      <c r="C700" s="21" t="s">
        <v>2897</v>
      </c>
      <c r="D700" s="21" t="s">
        <v>7</v>
      </c>
      <c r="E700" s="21" t="s">
        <v>5227</v>
      </c>
      <c r="F700" s="21" t="s">
        <v>5228</v>
      </c>
      <c r="G700" s="21"/>
    </row>
    <row r="701" ht="15.75" customHeight="1">
      <c r="A701" s="20" t="s">
        <v>5229</v>
      </c>
      <c r="B701" s="21" t="s">
        <v>2896</v>
      </c>
      <c r="C701" s="21" t="s">
        <v>2897</v>
      </c>
      <c r="D701" s="21" t="s">
        <v>7</v>
      </c>
      <c r="E701" s="21" t="s">
        <v>5230</v>
      </c>
      <c r="F701" s="21" t="s">
        <v>5231</v>
      </c>
      <c r="G701" s="21"/>
    </row>
    <row r="702" ht="15.75" customHeight="1">
      <c r="A702" s="20" t="s">
        <v>5232</v>
      </c>
      <c r="B702" s="21" t="s">
        <v>2896</v>
      </c>
      <c r="C702" s="21" t="s">
        <v>2897</v>
      </c>
      <c r="D702" s="21" t="s">
        <v>7</v>
      </c>
      <c r="E702" s="21" t="s">
        <v>5233</v>
      </c>
      <c r="F702" s="21" t="s">
        <v>5234</v>
      </c>
      <c r="G702" s="21"/>
    </row>
    <row r="703" ht="15.75" customHeight="1">
      <c r="A703" s="20" t="s">
        <v>5235</v>
      </c>
      <c r="B703" s="21" t="s">
        <v>2896</v>
      </c>
      <c r="C703" s="21" t="s">
        <v>2897</v>
      </c>
      <c r="D703" s="21" t="s">
        <v>7</v>
      </c>
      <c r="E703" s="21" t="s">
        <v>5236</v>
      </c>
      <c r="F703" s="21" t="s">
        <v>5237</v>
      </c>
      <c r="G703" s="21"/>
    </row>
    <row r="704" ht="15.75" customHeight="1">
      <c r="A704" s="20" t="s">
        <v>5235</v>
      </c>
      <c r="B704" s="21" t="s">
        <v>2896</v>
      </c>
      <c r="C704" s="21" t="s">
        <v>2897</v>
      </c>
      <c r="D704" s="21" t="s">
        <v>7</v>
      </c>
      <c r="E704" s="21" t="s">
        <v>5238</v>
      </c>
      <c r="F704" s="21" t="s">
        <v>5237</v>
      </c>
      <c r="G704" s="21"/>
    </row>
    <row r="705" ht="15.75" customHeight="1">
      <c r="A705" s="20" t="s">
        <v>5239</v>
      </c>
      <c r="B705" s="21" t="s">
        <v>5240</v>
      </c>
      <c r="C705" s="21" t="s">
        <v>4546</v>
      </c>
      <c r="D705" s="21" t="s">
        <v>7</v>
      </c>
      <c r="E705" s="21" t="s">
        <v>5241</v>
      </c>
      <c r="F705" s="21" t="s">
        <v>5242</v>
      </c>
      <c r="G705" s="21"/>
    </row>
    <row r="706" ht="15.75" customHeight="1">
      <c r="A706" s="20" t="s">
        <v>5243</v>
      </c>
      <c r="B706" s="21" t="s">
        <v>5244</v>
      </c>
      <c r="C706" s="21" t="s">
        <v>892</v>
      </c>
      <c r="D706" s="21" t="s">
        <v>7</v>
      </c>
      <c r="E706" s="21" t="s">
        <v>5245</v>
      </c>
      <c r="F706" s="21"/>
      <c r="G706" s="21"/>
    </row>
    <row r="707" ht="15.75" customHeight="1">
      <c r="A707" s="20" t="s">
        <v>5246</v>
      </c>
      <c r="B707" s="21" t="s">
        <v>771</v>
      </c>
      <c r="C707" s="21" t="s">
        <v>2903</v>
      </c>
      <c r="D707" s="21" t="s">
        <v>7</v>
      </c>
      <c r="E707" s="21" t="s">
        <v>5247</v>
      </c>
      <c r="F707" s="21" t="s">
        <v>5248</v>
      </c>
      <c r="G707" s="21"/>
    </row>
    <row r="708" ht="15.75" customHeight="1">
      <c r="A708" s="20" t="s">
        <v>4330</v>
      </c>
      <c r="B708" s="21" t="s">
        <v>771</v>
      </c>
      <c r="C708" s="21" t="s">
        <v>2903</v>
      </c>
      <c r="D708" s="21" t="s">
        <v>7</v>
      </c>
      <c r="E708" s="21" t="s">
        <v>5249</v>
      </c>
      <c r="F708" s="21" t="s">
        <v>5250</v>
      </c>
      <c r="G708" s="21"/>
    </row>
    <row r="709" ht="15.75" customHeight="1">
      <c r="A709" s="20" t="s">
        <v>5251</v>
      </c>
      <c r="B709" s="21" t="s">
        <v>771</v>
      </c>
      <c r="C709" s="21" t="s">
        <v>2903</v>
      </c>
      <c r="D709" s="21" t="s">
        <v>7</v>
      </c>
      <c r="E709" s="21" t="s">
        <v>5252</v>
      </c>
      <c r="F709" s="21" t="s">
        <v>5253</v>
      </c>
      <c r="G709" s="21"/>
    </row>
    <row r="710" ht="15.75" customHeight="1">
      <c r="A710" s="20" t="s">
        <v>5254</v>
      </c>
      <c r="B710" s="21" t="s">
        <v>771</v>
      </c>
      <c r="C710" s="21" t="s">
        <v>2903</v>
      </c>
      <c r="D710" s="21" t="s">
        <v>7</v>
      </c>
      <c r="E710" s="21" t="s">
        <v>5255</v>
      </c>
      <c r="F710" s="21" t="s">
        <v>5256</v>
      </c>
      <c r="G710" s="21"/>
    </row>
    <row r="711" ht="15.75" customHeight="1">
      <c r="A711" s="20" t="s">
        <v>5257</v>
      </c>
      <c r="B711" s="21" t="s">
        <v>771</v>
      </c>
      <c r="C711" s="21" t="s">
        <v>2903</v>
      </c>
      <c r="D711" s="21" t="s">
        <v>7</v>
      </c>
      <c r="E711" s="21" t="s">
        <v>5258</v>
      </c>
      <c r="F711" s="21" t="s">
        <v>5259</v>
      </c>
      <c r="G711" s="21"/>
    </row>
    <row r="712" ht="15.75" customHeight="1">
      <c r="A712" s="20" t="s">
        <v>5260</v>
      </c>
      <c r="B712" s="21" t="s">
        <v>771</v>
      </c>
      <c r="C712" s="21" t="s">
        <v>2903</v>
      </c>
      <c r="D712" s="21" t="s">
        <v>7</v>
      </c>
      <c r="E712" s="21" t="s">
        <v>5261</v>
      </c>
      <c r="F712" s="21" t="s">
        <v>5262</v>
      </c>
      <c r="G712" s="21"/>
    </row>
    <row r="713" ht="15.75" customHeight="1">
      <c r="A713" s="20" t="s">
        <v>5263</v>
      </c>
      <c r="B713" s="21" t="s">
        <v>5264</v>
      </c>
      <c r="C713" s="21" t="s">
        <v>216</v>
      </c>
      <c r="D713" s="21" t="s">
        <v>7</v>
      </c>
      <c r="E713" s="21" t="s">
        <v>5265</v>
      </c>
      <c r="F713" s="21" t="s">
        <v>5266</v>
      </c>
      <c r="G713" s="21"/>
    </row>
    <row r="714" ht="15.75" customHeight="1">
      <c r="A714" s="20" t="s">
        <v>5267</v>
      </c>
      <c r="B714" s="21" t="s">
        <v>193</v>
      </c>
      <c r="C714" s="21" t="s">
        <v>486</v>
      </c>
      <c r="D714" s="21" t="s">
        <v>7</v>
      </c>
      <c r="E714" s="21" t="s">
        <v>5268</v>
      </c>
      <c r="F714" s="21" t="s">
        <v>5269</v>
      </c>
      <c r="G714" s="21"/>
    </row>
    <row r="715" ht="15.75" customHeight="1">
      <c r="A715" s="20" t="s">
        <v>5270</v>
      </c>
      <c r="B715" s="21" t="s">
        <v>193</v>
      </c>
      <c r="C715" s="21" t="s">
        <v>486</v>
      </c>
      <c r="D715" s="21" t="s">
        <v>7</v>
      </c>
      <c r="E715" s="21" t="s">
        <v>5271</v>
      </c>
      <c r="F715" s="21"/>
      <c r="G715" s="21"/>
    </row>
    <row r="716" ht="15.75" customHeight="1">
      <c r="A716" s="20" t="s">
        <v>5272</v>
      </c>
      <c r="B716" s="21" t="s">
        <v>193</v>
      </c>
      <c r="C716" s="21" t="s">
        <v>486</v>
      </c>
      <c r="D716" s="21" t="s">
        <v>7</v>
      </c>
      <c r="E716" s="21" t="s">
        <v>5273</v>
      </c>
      <c r="F716" s="21" t="s">
        <v>5274</v>
      </c>
      <c r="G716" s="21"/>
    </row>
    <row r="717" ht="15.75" customHeight="1">
      <c r="A717" s="20" t="s">
        <v>5275</v>
      </c>
      <c r="B717" s="21" t="s">
        <v>193</v>
      </c>
      <c r="C717" s="21" t="s">
        <v>486</v>
      </c>
      <c r="D717" s="21" t="s">
        <v>7</v>
      </c>
      <c r="E717" s="21" t="s">
        <v>5276</v>
      </c>
      <c r="F717" s="21" t="s">
        <v>5277</v>
      </c>
      <c r="G717" s="21"/>
    </row>
    <row r="718" ht="15.75" customHeight="1">
      <c r="A718" s="20" t="s">
        <v>5278</v>
      </c>
      <c r="B718" s="21" t="s">
        <v>193</v>
      </c>
      <c r="C718" s="21" t="s">
        <v>486</v>
      </c>
      <c r="D718" s="21" t="s">
        <v>7</v>
      </c>
      <c r="E718" s="21" t="s">
        <v>5279</v>
      </c>
      <c r="F718" s="21" t="s">
        <v>5280</v>
      </c>
      <c r="G718" s="21"/>
    </row>
    <row r="719" ht="15.75" customHeight="1">
      <c r="A719" s="20" t="s">
        <v>5281</v>
      </c>
      <c r="B719" s="21" t="s">
        <v>193</v>
      </c>
      <c r="C719" s="21" t="s">
        <v>486</v>
      </c>
      <c r="D719" s="21" t="s">
        <v>7</v>
      </c>
      <c r="E719" s="21" t="s">
        <v>5282</v>
      </c>
      <c r="F719" s="21" t="s">
        <v>5283</v>
      </c>
      <c r="G719" s="21"/>
    </row>
    <row r="720" ht="15.75" customHeight="1">
      <c r="A720" s="20" t="s">
        <v>5284</v>
      </c>
      <c r="B720" s="21" t="s">
        <v>193</v>
      </c>
      <c r="C720" s="21" t="s">
        <v>486</v>
      </c>
      <c r="D720" s="21" t="s">
        <v>7</v>
      </c>
      <c r="E720" s="21" t="s">
        <v>5285</v>
      </c>
      <c r="F720" s="21" t="s">
        <v>5286</v>
      </c>
      <c r="G720" s="21"/>
    </row>
    <row r="721" ht="15.75" customHeight="1">
      <c r="A721" s="20" t="s">
        <v>5287</v>
      </c>
      <c r="B721" s="21" t="s">
        <v>193</v>
      </c>
      <c r="C721" s="21" t="s">
        <v>486</v>
      </c>
      <c r="D721" s="21" t="s">
        <v>7</v>
      </c>
      <c r="E721" s="21" t="s">
        <v>5288</v>
      </c>
      <c r="F721" s="21" t="s">
        <v>5289</v>
      </c>
      <c r="G721" s="21"/>
    </row>
    <row r="722" ht="15.75" customHeight="1">
      <c r="A722" s="20" t="s">
        <v>5290</v>
      </c>
      <c r="B722" s="21" t="s">
        <v>193</v>
      </c>
      <c r="C722" s="21" t="s">
        <v>486</v>
      </c>
      <c r="D722" s="21" t="s">
        <v>7</v>
      </c>
      <c r="E722" s="21" t="s">
        <v>5291</v>
      </c>
      <c r="F722" s="21" t="s">
        <v>5292</v>
      </c>
      <c r="G722" s="21"/>
    </row>
    <row r="723" ht="15.75" customHeight="1">
      <c r="A723" s="20" t="s">
        <v>5293</v>
      </c>
      <c r="B723" s="21" t="s">
        <v>193</v>
      </c>
      <c r="C723" s="21" t="s">
        <v>486</v>
      </c>
      <c r="D723" s="21" t="s">
        <v>7</v>
      </c>
      <c r="E723" s="21" t="s">
        <v>5294</v>
      </c>
      <c r="F723" s="21" t="s">
        <v>5295</v>
      </c>
      <c r="G723" s="21"/>
    </row>
    <row r="724" ht="15.75" customHeight="1">
      <c r="A724" s="20" t="s">
        <v>5296</v>
      </c>
      <c r="B724" s="21" t="s">
        <v>193</v>
      </c>
      <c r="C724" s="21" t="s">
        <v>486</v>
      </c>
      <c r="D724" s="21" t="s">
        <v>7</v>
      </c>
      <c r="E724" s="21" t="s">
        <v>5297</v>
      </c>
      <c r="F724" s="21" t="s">
        <v>5298</v>
      </c>
      <c r="G724" s="21"/>
    </row>
    <row r="725" ht="15.75" customHeight="1">
      <c r="A725" s="20" t="s">
        <v>5299</v>
      </c>
      <c r="B725" s="21" t="s">
        <v>193</v>
      </c>
      <c r="C725" s="21" t="s">
        <v>486</v>
      </c>
      <c r="D725" s="21" t="s">
        <v>7</v>
      </c>
      <c r="E725" s="21" t="s">
        <v>5300</v>
      </c>
      <c r="F725" s="21" t="s">
        <v>5301</v>
      </c>
      <c r="G725" s="21"/>
    </row>
    <row r="726" ht="15.75" customHeight="1">
      <c r="A726" s="20" t="s">
        <v>5302</v>
      </c>
      <c r="B726" s="21" t="s">
        <v>193</v>
      </c>
      <c r="C726" s="21" t="s">
        <v>486</v>
      </c>
      <c r="D726" s="21" t="s">
        <v>7</v>
      </c>
      <c r="E726" s="21" t="s">
        <v>5303</v>
      </c>
      <c r="F726" s="21" t="s">
        <v>5304</v>
      </c>
      <c r="G726" s="21"/>
    </row>
    <row r="727" ht="15.75" customHeight="1">
      <c r="A727" s="20" t="s">
        <v>5305</v>
      </c>
      <c r="B727" s="21" t="s">
        <v>193</v>
      </c>
      <c r="C727" s="21" t="s">
        <v>486</v>
      </c>
      <c r="D727" s="21" t="s">
        <v>7</v>
      </c>
      <c r="E727" s="21" t="s">
        <v>5306</v>
      </c>
      <c r="F727" s="21" t="s">
        <v>5307</v>
      </c>
      <c r="G727" s="21"/>
    </row>
    <row r="728" ht="15.75" customHeight="1">
      <c r="A728" s="20" t="s">
        <v>5308</v>
      </c>
      <c r="B728" s="21" t="s">
        <v>193</v>
      </c>
      <c r="C728" s="21" t="s">
        <v>486</v>
      </c>
      <c r="D728" s="21" t="s">
        <v>7</v>
      </c>
      <c r="E728" s="21" t="s">
        <v>5309</v>
      </c>
      <c r="F728" s="21"/>
      <c r="G728" s="21"/>
    </row>
    <row r="729" ht="15.75" customHeight="1">
      <c r="A729" s="20" t="s">
        <v>5310</v>
      </c>
      <c r="B729" s="21" t="s">
        <v>193</v>
      </c>
      <c r="C729" s="21" t="s">
        <v>486</v>
      </c>
      <c r="D729" s="21" t="s">
        <v>7</v>
      </c>
      <c r="E729" s="21" t="s">
        <v>5311</v>
      </c>
      <c r="F729" s="21" t="s">
        <v>5312</v>
      </c>
      <c r="G729" s="21"/>
    </row>
    <row r="730" ht="15.75" customHeight="1">
      <c r="A730" s="20" t="s">
        <v>5313</v>
      </c>
      <c r="B730" s="21" t="s">
        <v>193</v>
      </c>
      <c r="C730" s="21" t="s">
        <v>486</v>
      </c>
      <c r="D730" s="21" t="s">
        <v>7</v>
      </c>
      <c r="E730" s="21" t="s">
        <v>5314</v>
      </c>
      <c r="F730" s="21" t="s">
        <v>5315</v>
      </c>
      <c r="G730" s="21"/>
    </row>
    <row r="731" ht="15.75" customHeight="1">
      <c r="A731" s="20" t="s">
        <v>5316</v>
      </c>
      <c r="B731" s="21" t="s">
        <v>193</v>
      </c>
      <c r="C731" s="21" t="s">
        <v>486</v>
      </c>
      <c r="D731" s="21" t="s">
        <v>7</v>
      </c>
      <c r="E731" s="21" t="s">
        <v>5317</v>
      </c>
      <c r="F731" s="21" t="s">
        <v>5318</v>
      </c>
      <c r="G731" s="21"/>
    </row>
    <row r="732" ht="15.75" customHeight="1">
      <c r="A732" s="20" t="s">
        <v>5319</v>
      </c>
      <c r="B732" s="21" t="s">
        <v>193</v>
      </c>
      <c r="C732" s="21" t="s">
        <v>486</v>
      </c>
      <c r="D732" s="21" t="s">
        <v>7</v>
      </c>
      <c r="E732" s="21" t="s">
        <v>5320</v>
      </c>
      <c r="F732" s="21" t="s">
        <v>5321</v>
      </c>
      <c r="G732" s="21"/>
    </row>
    <row r="733" ht="15.75" customHeight="1">
      <c r="A733" s="20" t="s">
        <v>5322</v>
      </c>
      <c r="B733" s="21" t="s">
        <v>193</v>
      </c>
      <c r="C733" s="21" t="s">
        <v>486</v>
      </c>
      <c r="D733" s="21" t="s">
        <v>7</v>
      </c>
      <c r="E733" s="21" t="s">
        <v>5323</v>
      </c>
      <c r="F733" s="21" t="s">
        <v>5324</v>
      </c>
      <c r="G733" s="21"/>
    </row>
    <row r="734" ht="15.75" customHeight="1">
      <c r="A734" s="20" t="s">
        <v>5325</v>
      </c>
      <c r="B734" s="21" t="s">
        <v>193</v>
      </c>
      <c r="C734" s="21" t="s">
        <v>486</v>
      </c>
      <c r="D734" s="21" t="s">
        <v>7</v>
      </c>
      <c r="E734" s="21" t="s">
        <v>2938</v>
      </c>
      <c r="F734" s="21" t="s">
        <v>5326</v>
      </c>
      <c r="G734" s="21"/>
    </row>
    <row r="735" ht="15.75" customHeight="1">
      <c r="A735" s="20" t="s">
        <v>5327</v>
      </c>
      <c r="B735" s="21" t="s">
        <v>193</v>
      </c>
      <c r="C735" s="21" t="s">
        <v>486</v>
      </c>
      <c r="D735" s="21" t="s">
        <v>7</v>
      </c>
      <c r="E735" s="21" t="s">
        <v>5328</v>
      </c>
      <c r="F735" s="21" t="s">
        <v>5329</v>
      </c>
      <c r="G735" s="21"/>
    </row>
    <row r="736" ht="15.75" customHeight="1">
      <c r="A736" s="20" t="s">
        <v>5330</v>
      </c>
      <c r="B736" s="21" t="s">
        <v>193</v>
      </c>
      <c r="C736" s="21" t="s">
        <v>486</v>
      </c>
      <c r="D736" s="21" t="s">
        <v>7</v>
      </c>
      <c r="E736" s="21" t="s">
        <v>5331</v>
      </c>
      <c r="F736" s="21" t="s">
        <v>5332</v>
      </c>
      <c r="G736" s="21"/>
    </row>
    <row r="737" ht="15.75" customHeight="1">
      <c r="A737" s="20" t="s">
        <v>5333</v>
      </c>
      <c r="B737" s="21" t="s">
        <v>193</v>
      </c>
      <c r="C737" s="21" t="s">
        <v>486</v>
      </c>
      <c r="D737" s="21" t="s">
        <v>7</v>
      </c>
      <c r="E737" s="21" t="s">
        <v>5334</v>
      </c>
      <c r="F737" s="21" t="s">
        <v>5335</v>
      </c>
      <c r="G737" s="21"/>
    </row>
    <row r="738" ht="15.75" customHeight="1">
      <c r="A738" s="20" t="s">
        <v>5336</v>
      </c>
      <c r="B738" s="21" t="s">
        <v>193</v>
      </c>
      <c r="C738" s="21" t="s">
        <v>486</v>
      </c>
      <c r="D738" s="21" t="s">
        <v>7</v>
      </c>
      <c r="E738" s="21" t="s">
        <v>5337</v>
      </c>
      <c r="F738" s="21"/>
      <c r="G738" s="21"/>
    </row>
    <row r="739" ht="15.75" customHeight="1">
      <c r="A739" s="20" t="s">
        <v>5338</v>
      </c>
      <c r="B739" s="21" t="s">
        <v>193</v>
      </c>
      <c r="C739" s="21" t="s">
        <v>486</v>
      </c>
      <c r="D739" s="21" t="s">
        <v>7</v>
      </c>
      <c r="E739" s="21" t="s">
        <v>5339</v>
      </c>
      <c r="F739" s="21" t="s">
        <v>5340</v>
      </c>
      <c r="G739" s="21"/>
    </row>
    <row r="740" ht="15.75" customHeight="1">
      <c r="A740" s="20" t="s">
        <v>5341</v>
      </c>
      <c r="B740" s="21" t="s">
        <v>193</v>
      </c>
      <c r="C740" s="21" t="s">
        <v>486</v>
      </c>
      <c r="D740" s="21" t="s">
        <v>7</v>
      </c>
      <c r="E740" s="21" t="s">
        <v>5342</v>
      </c>
      <c r="F740" s="21"/>
      <c r="G740" s="21"/>
    </row>
    <row r="741" ht="15.75" customHeight="1">
      <c r="A741" s="20" t="s">
        <v>5343</v>
      </c>
      <c r="B741" s="21" t="s">
        <v>5344</v>
      </c>
      <c r="C741" s="21" t="s">
        <v>3417</v>
      </c>
      <c r="D741" s="21" t="s">
        <v>7</v>
      </c>
      <c r="E741" s="21" t="s">
        <v>5345</v>
      </c>
      <c r="F741" s="21" t="s">
        <v>5346</v>
      </c>
      <c r="G741" s="21"/>
    </row>
    <row r="742" ht="15.75" customHeight="1">
      <c r="A742" s="20" t="s">
        <v>5347</v>
      </c>
      <c r="B742" s="21" t="s">
        <v>5344</v>
      </c>
      <c r="C742" s="21" t="s">
        <v>3417</v>
      </c>
      <c r="D742" s="21" t="s">
        <v>7</v>
      </c>
      <c r="E742" s="21" t="s">
        <v>5348</v>
      </c>
      <c r="F742" s="21" t="s">
        <v>5349</v>
      </c>
      <c r="G742" s="21"/>
    </row>
    <row r="743" ht="15.75" customHeight="1">
      <c r="A743" s="20" t="s">
        <v>5350</v>
      </c>
      <c r="B743" s="21" t="s">
        <v>5351</v>
      </c>
      <c r="C743" s="21" t="s">
        <v>234</v>
      </c>
      <c r="D743" s="21" t="s">
        <v>7</v>
      </c>
      <c r="E743" s="21" t="s">
        <v>5352</v>
      </c>
      <c r="F743" s="21" t="s">
        <v>5353</v>
      </c>
      <c r="G743" s="21"/>
    </row>
    <row r="744" ht="15.75" customHeight="1">
      <c r="A744" s="20" t="s">
        <v>5354</v>
      </c>
      <c r="B744" s="21" t="s">
        <v>681</v>
      </c>
      <c r="C744" s="21" t="s">
        <v>3627</v>
      </c>
      <c r="D744" s="21" t="s">
        <v>7</v>
      </c>
      <c r="E744" s="21" t="s">
        <v>5355</v>
      </c>
      <c r="F744" s="21" t="s">
        <v>5356</v>
      </c>
      <c r="G744" s="21"/>
    </row>
    <row r="745" ht="15.75" customHeight="1">
      <c r="A745" s="20" t="s">
        <v>5357</v>
      </c>
      <c r="B745" s="21" t="s">
        <v>681</v>
      </c>
      <c r="C745" s="21" t="s">
        <v>3627</v>
      </c>
      <c r="D745" s="21" t="s">
        <v>7</v>
      </c>
      <c r="E745" s="21" t="s">
        <v>5358</v>
      </c>
      <c r="F745" s="21"/>
      <c r="G745" s="21"/>
    </row>
    <row r="746" ht="15.75" customHeight="1">
      <c r="A746" s="20" t="s">
        <v>5359</v>
      </c>
      <c r="B746" s="21" t="s">
        <v>681</v>
      </c>
      <c r="C746" s="21" t="s">
        <v>3627</v>
      </c>
      <c r="D746" s="21" t="s">
        <v>7</v>
      </c>
      <c r="E746" s="21" t="s">
        <v>5360</v>
      </c>
      <c r="F746" s="21" t="s">
        <v>5361</v>
      </c>
      <c r="G746" s="21"/>
    </row>
    <row r="747" ht="15.75" customHeight="1">
      <c r="A747" s="20" t="s">
        <v>5362</v>
      </c>
      <c r="B747" s="21" t="s">
        <v>539</v>
      </c>
      <c r="C747" s="21" t="s">
        <v>541</v>
      </c>
      <c r="D747" s="21" t="s">
        <v>7</v>
      </c>
      <c r="E747" s="21" t="s">
        <v>5363</v>
      </c>
      <c r="F747" s="21" t="s">
        <v>5364</v>
      </c>
      <c r="G747" s="21"/>
    </row>
    <row r="748" ht="15.75" customHeight="1">
      <c r="A748" s="20" t="s">
        <v>5365</v>
      </c>
      <c r="B748" s="21" t="s">
        <v>539</v>
      </c>
      <c r="C748" s="21" t="s">
        <v>541</v>
      </c>
      <c r="D748" s="21" t="s">
        <v>7</v>
      </c>
      <c r="E748" s="21" t="s">
        <v>5366</v>
      </c>
      <c r="F748" s="21" t="s">
        <v>5367</v>
      </c>
      <c r="G748" s="21"/>
    </row>
    <row r="749" ht="15.75" customHeight="1">
      <c r="A749" s="20" t="s">
        <v>5368</v>
      </c>
      <c r="B749" s="21" t="s">
        <v>539</v>
      </c>
      <c r="C749" s="21" t="s">
        <v>541</v>
      </c>
      <c r="D749" s="21" t="s">
        <v>7</v>
      </c>
      <c r="E749" s="21" t="s">
        <v>5369</v>
      </c>
      <c r="F749" s="21" t="s">
        <v>5370</v>
      </c>
      <c r="G749" s="21"/>
    </row>
    <row r="750" ht="15.75" customHeight="1">
      <c r="A750" s="20" t="s">
        <v>5371</v>
      </c>
      <c r="B750" s="21" t="s">
        <v>5372</v>
      </c>
      <c r="C750" s="21" t="s">
        <v>862</v>
      </c>
      <c r="D750" s="21" t="s">
        <v>7</v>
      </c>
      <c r="E750" s="21" t="s">
        <v>5373</v>
      </c>
      <c r="F750" s="21" t="s">
        <v>5374</v>
      </c>
      <c r="G750" s="21"/>
    </row>
    <row r="751" ht="15.75" customHeight="1">
      <c r="A751" s="20" t="s">
        <v>5375</v>
      </c>
      <c r="B751" s="21" t="s">
        <v>5372</v>
      </c>
      <c r="C751" s="21" t="s">
        <v>862</v>
      </c>
      <c r="D751" s="21" t="s">
        <v>7</v>
      </c>
      <c r="E751" s="21" t="s">
        <v>5376</v>
      </c>
      <c r="F751" s="21" t="s">
        <v>5377</v>
      </c>
      <c r="G751" s="21"/>
    </row>
    <row r="752" ht="15.75" customHeight="1">
      <c r="A752" s="20" t="s">
        <v>5378</v>
      </c>
      <c r="B752" s="21" t="s">
        <v>5372</v>
      </c>
      <c r="C752" s="21" t="s">
        <v>862</v>
      </c>
      <c r="D752" s="21" t="s">
        <v>7</v>
      </c>
      <c r="E752" s="21" t="s">
        <v>5379</v>
      </c>
      <c r="F752" s="21" t="s">
        <v>5380</v>
      </c>
      <c r="G752" s="21"/>
    </row>
    <row r="753" ht="15.75" customHeight="1">
      <c r="A753" s="20" t="s">
        <v>5381</v>
      </c>
      <c r="B753" s="21" t="s">
        <v>5382</v>
      </c>
      <c r="C753" s="21" t="s">
        <v>3627</v>
      </c>
      <c r="D753" s="21" t="s">
        <v>7</v>
      </c>
      <c r="E753" s="21" t="s">
        <v>5383</v>
      </c>
      <c r="F753" s="21" t="s">
        <v>5384</v>
      </c>
      <c r="G753" s="21"/>
    </row>
    <row r="754" ht="15.75" customHeight="1">
      <c r="A754" s="20" t="s">
        <v>5385</v>
      </c>
      <c r="B754" s="21" t="s">
        <v>5382</v>
      </c>
      <c r="C754" s="21" t="s">
        <v>3627</v>
      </c>
      <c r="D754" s="21" t="s">
        <v>7</v>
      </c>
      <c r="E754" s="21" t="s">
        <v>5386</v>
      </c>
      <c r="F754" s="21" t="s">
        <v>5387</v>
      </c>
      <c r="G754" s="21"/>
    </row>
    <row r="755" ht="15.75" customHeight="1">
      <c r="A755" s="20" t="s">
        <v>5388</v>
      </c>
      <c r="B755" s="21" t="s">
        <v>5382</v>
      </c>
      <c r="C755" s="21" t="s">
        <v>3627</v>
      </c>
      <c r="D755" s="21" t="s">
        <v>7</v>
      </c>
      <c r="E755" s="21" t="s">
        <v>5389</v>
      </c>
      <c r="F755" s="21"/>
      <c r="G755" s="21"/>
    </row>
    <row r="756" ht="15.75" customHeight="1">
      <c r="A756" s="20" t="s">
        <v>5390</v>
      </c>
      <c r="B756" s="21" t="s">
        <v>5382</v>
      </c>
      <c r="C756" s="21" t="s">
        <v>3627</v>
      </c>
      <c r="D756" s="21" t="s">
        <v>7</v>
      </c>
      <c r="E756" s="21" t="s">
        <v>5391</v>
      </c>
      <c r="F756" s="21"/>
      <c r="G756" s="21"/>
    </row>
    <row r="757" ht="15.75" customHeight="1">
      <c r="A757" s="20" t="s">
        <v>5392</v>
      </c>
      <c r="B757" s="21" t="s">
        <v>5393</v>
      </c>
      <c r="C757" s="21" t="s">
        <v>3711</v>
      </c>
      <c r="D757" s="21" t="s">
        <v>7</v>
      </c>
      <c r="E757" s="21" t="s">
        <v>5394</v>
      </c>
      <c r="F757" s="21" t="s">
        <v>5395</v>
      </c>
      <c r="G757" s="21"/>
    </row>
    <row r="758" ht="15.75" customHeight="1">
      <c r="A758" s="20" t="s">
        <v>5396</v>
      </c>
      <c r="B758" s="21" t="s">
        <v>5397</v>
      </c>
      <c r="C758" s="21" t="s">
        <v>703</v>
      </c>
      <c r="D758" s="21" t="s">
        <v>7</v>
      </c>
      <c r="E758" s="21" t="s">
        <v>5398</v>
      </c>
      <c r="F758" s="21" t="s">
        <v>5399</v>
      </c>
      <c r="G758" s="21"/>
    </row>
    <row r="759" ht="15.75" customHeight="1">
      <c r="A759" s="20" t="s">
        <v>5400</v>
      </c>
      <c r="B759" s="21" t="s">
        <v>5401</v>
      </c>
      <c r="C759" s="21" t="s">
        <v>881</v>
      </c>
      <c r="D759" s="21" t="s">
        <v>7</v>
      </c>
      <c r="E759" s="21" t="s">
        <v>5402</v>
      </c>
      <c r="F759" s="21" t="s">
        <v>5403</v>
      </c>
      <c r="G759" s="21"/>
    </row>
    <row r="760" ht="15.75" customHeight="1">
      <c r="A760" s="20" t="s">
        <v>5404</v>
      </c>
      <c r="B760" s="21" t="s">
        <v>891</v>
      </c>
      <c r="C760" s="21" t="s">
        <v>892</v>
      </c>
      <c r="D760" s="21" t="s">
        <v>7</v>
      </c>
      <c r="E760" s="21" t="s">
        <v>5405</v>
      </c>
      <c r="F760" s="21" t="s">
        <v>5406</v>
      </c>
      <c r="G760" s="21"/>
    </row>
    <row r="761" ht="15.75" customHeight="1">
      <c r="A761" s="20" t="s">
        <v>5407</v>
      </c>
      <c r="B761" s="21" t="s">
        <v>891</v>
      </c>
      <c r="C761" s="21" t="s">
        <v>892</v>
      </c>
      <c r="D761" s="21" t="s">
        <v>7</v>
      </c>
      <c r="E761" s="21" t="s">
        <v>5408</v>
      </c>
      <c r="F761" s="21" t="s">
        <v>5409</v>
      </c>
      <c r="G761" s="21"/>
    </row>
    <row r="762" ht="15.75" customHeight="1">
      <c r="A762" s="20" t="s">
        <v>5410</v>
      </c>
      <c r="B762" s="21" t="s">
        <v>5411</v>
      </c>
      <c r="C762" s="21" t="s">
        <v>703</v>
      </c>
      <c r="D762" s="21" t="s">
        <v>7</v>
      </c>
      <c r="E762" s="21" t="s">
        <v>5412</v>
      </c>
      <c r="F762" s="21" t="s">
        <v>5413</v>
      </c>
      <c r="G762" s="21"/>
    </row>
    <row r="763" ht="15.75" customHeight="1">
      <c r="A763" s="20" t="s">
        <v>5414</v>
      </c>
      <c r="B763" s="21" t="s">
        <v>5415</v>
      </c>
      <c r="C763" s="21" t="s">
        <v>5416</v>
      </c>
      <c r="D763" s="21" t="s">
        <v>7</v>
      </c>
      <c r="E763" s="21" t="s">
        <v>5417</v>
      </c>
      <c r="F763" s="21" t="s">
        <v>5418</v>
      </c>
      <c r="G763" s="21"/>
    </row>
    <row r="764" ht="15.75" customHeight="1">
      <c r="A764" s="20" t="s">
        <v>5419</v>
      </c>
      <c r="B764" s="21" t="s">
        <v>926</v>
      </c>
      <c r="C764" s="21" t="s">
        <v>412</v>
      </c>
      <c r="D764" s="21" t="s">
        <v>7</v>
      </c>
      <c r="E764" s="21" t="s">
        <v>5420</v>
      </c>
      <c r="F764" s="21" t="s">
        <v>5421</v>
      </c>
      <c r="G764" s="21"/>
    </row>
    <row r="765" ht="15.75" customHeight="1">
      <c r="A765" s="20" t="s">
        <v>5422</v>
      </c>
      <c r="B765" s="21" t="s">
        <v>926</v>
      </c>
      <c r="C765" s="21" t="s">
        <v>412</v>
      </c>
      <c r="D765" s="21" t="s">
        <v>7</v>
      </c>
      <c r="E765" s="21" t="s">
        <v>5423</v>
      </c>
      <c r="F765" s="21" t="s">
        <v>5424</v>
      </c>
      <c r="G765" s="21"/>
    </row>
    <row r="766" ht="15.75" customHeight="1">
      <c r="A766" s="20" t="s">
        <v>5425</v>
      </c>
      <c r="B766" s="21" t="s">
        <v>926</v>
      </c>
      <c r="C766" s="21" t="s">
        <v>412</v>
      </c>
      <c r="D766" s="21" t="s">
        <v>7</v>
      </c>
      <c r="E766" s="21" t="s">
        <v>5426</v>
      </c>
      <c r="F766" s="21">
        <v>7.83160056E8</v>
      </c>
      <c r="G766" s="21" t="s">
        <v>5427</v>
      </c>
    </row>
    <row r="767" ht="15.75" customHeight="1">
      <c r="A767" s="20" t="s">
        <v>5428</v>
      </c>
      <c r="B767" s="21" t="s">
        <v>926</v>
      </c>
      <c r="C767" s="21" t="s">
        <v>412</v>
      </c>
      <c r="D767" s="21" t="s">
        <v>7</v>
      </c>
      <c r="E767" s="21" t="s">
        <v>5429</v>
      </c>
      <c r="F767" s="21" t="s">
        <v>5430</v>
      </c>
      <c r="G767" s="21"/>
    </row>
    <row r="768" ht="15.75" customHeight="1">
      <c r="A768" s="20" t="s">
        <v>5431</v>
      </c>
      <c r="B768" s="21" t="s">
        <v>926</v>
      </c>
      <c r="C768" s="21" t="s">
        <v>412</v>
      </c>
      <c r="D768" s="21" t="s">
        <v>7</v>
      </c>
      <c r="E768" s="21" t="s">
        <v>5432</v>
      </c>
      <c r="F768" s="21" t="s">
        <v>5433</v>
      </c>
      <c r="G768" s="21"/>
    </row>
    <row r="769" ht="15.75" customHeight="1">
      <c r="A769" s="20" t="s">
        <v>5434</v>
      </c>
      <c r="B769" s="21" t="s">
        <v>5435</v>
      </c>
      <c r="C769" s="21" t="s">
        <v>359</v>
      </c>
      <c r="D769" s="21" t="s">
        <v>7</v>
      </c>
      <c r="E769" s="21" t="s">
        <v>5436</v>
      </c>
      <c r="F769" s="21" t="s">
        <v>5437</v>
      </c>
      <c r="G769" s="21"/>
    </row>
    <row r="770" ht="15.75" customHeight="1">
      <c r="A770" s="20" t="s">
        <v>5438</v>
      </c>
      <c r="B770" s="21" t="s">
        <v>5435</v>
      </c>
      <c r="C770" s="21" t="s">
        <v>359</v>
      </c>
      <c r="D770" s="21" t="s">
        <v>7</v>
      </c>
      <c r="E770" s="21" t="s">
        <v>5439</v>
      </c>
      <c r="F770" s="21" t="s">
        <v>5440</v>
      </c>
      <c r="G770" s="21"/>
    </row>
    <row r="771" ht="15.75" customHeight="1">
      <c r="A771" s="20" t="s">
        <v>5441</v>
      </c>
      <c r="B771" s="21" t="s">
        <v>5435</v>
      </c>
      <c r="C771" s="21" t="s">
        <v>359</v>
      </c>
      <c r="D771" s="21" t="s">
        <v>7</v>
      </c>
      <c r="E771" s="21" t="s">
        <v>5442</v>
      </c>
      <c r="F771" s="21" t="s">
        <v>5443</v>
      </c>
      <c r="G771" s="21"/>
    </row>
    <row r="772" ht="15.75" customHeight="1">
      <c r="A772" s="20" t="s">
        <v>5444</v>
      </c>
      <c r="B772" s="21" t="s">
        <v>1051</v>
      </c>
      <c r="C772" s="21" t="s">
        <v>3791</v>
      </c>
      <c r="D772" s="21" t="s">
        <v>7</v>
      </c>
      <c r="E772" s="21" t="s">
        <v>5445</v>
      </c>
      <c r="F772" s="21" t="s">
        <v>5446</v>
      </c>
      <c r="G772" s="21"/>
    </row>
    <row r="773" ht="15.75" customHeight="1">
      <c r="A773" s="20" t="s">
        <v>5447</v>
      </c>
      <c r="B773" s="21" t="s">
        <v>1051</v>
      </c>
      <c r="C773" s="21" t="s">
        <v>3791</v>
      </c>
      <c r="D773" s="21" t="s">
        <v>7</v>
      </c>
      <c r="E773" s="21" t="s">
        <v>5448</v>
      </c>
      <c r="F773" s="21" t="s">
        <v>5449</v>
      </c>
      <c r="G773" s="21"/>
    </row>
    <row r="774" ht="15.75" customHeight="1">
      <c r="A774" s="20" t="s">
        <v>5450</v>
      </c>
      <c r="B774" s="21" t="s">
        <v>566</v>
      </c>
      <c r="C774" s="21" t="s">
        <v>425</v>
      </c>
      <c r="D774" s="21" t="s">
        <v>7</v>
      </c>
      <c r="E774" s="21" t="s">
        <v>5451</v>
      </c>
      <c r="F774" s="21" t="s">
        <v>5452</v>
      </c>
      <c r="G774" s="21"/>
    </row>
    <row r="775" ht="15.75" customHeight="1">
      <c r="A775" s="20" t="s">
        <v>5453</v>
      </c>
      <c r="B775" s="21" t="s">
        <v>566</v>
      </c>
      <c r="C775" s="21" t="s">
        <v>425</v>
      </c>
      <c r="D775" s="21" t="s">
        <v>7</v>
      </c>
      <c r="E775" s="21" t="s">
        <v>5454</v>
      </c>
      <c r="F775" s="21" t="s">
        <v>5455</v>
      </c>
      <c r="G775" s="21"/>
    </row>
    <row r="776" ht="15.75" customHeight="1">
      <c r="A776" s="20" t="s">
        <v>5456</v>
      </c>
      <c r="B776" s="21" t="s">
        <v>566</v>
      </c>
      <c r="C776" s="21" t="s">
        <v>425</v>
      </c>
      <c r="D776" s="21" t="s">
        <v>7</v>
      </c>
      <c r="E776" s="21" t="s">
        <v>5457</v>
      </c>
      <c r="F776" s="21" t="s">
        <v>5458</v>
      </c>
      <c r="G776" s="21"/>
    </row>
    <row r="777" ht="15.75" customHeight="1">
      <c r="A777" s="20" t="s">
        <v>5459</v>
      </c>
      <c r="B777" s="21" t="s">
        <v>566</v>
      </c>
      <c r="C777" s="21" t="s">
        <v>425</v>
      </c>
      <c r="D777" s="21" t="s">
        <v>7</v>
      </c>
      <c r="E777" s="21" t="s">
        <v>5460</v>
      </c>
      <c r="F777" s="21" t="s">
        <v>5461</v>
      </c>
      <c r="G777" s="21"/>
    </row>
    <row r="778" ht="15.75" customHeight="1">
      <c r="A778" s="20" t="s">
        <v>5462</v>
      </c>
      <c r="B778" s="21" t="s">
        <v>566</v>
      </c>
      <c r="C778" s="21" t="s">
        <v>425</v>
      </c>
      <c r="D778" s="21" t="s">
        <v>7</v>
      </c>
      <c r="E778" s="21" t="s">
        <v>5463</v>
      </c>
      <c r="F778" s="21" t="s">
        <v>5464</v>
      </c>
      <c r="G778" s="21"/>
    </row>
    <row r="779" ht="15.75" customHeight="1">
      <c r="A779" s="20" t="s">
        <v>5465</v>
      </c>
      <c r="B779" s="21" t="s">
        <v>2199</v>
      </c>
      <c r="C779" s="21" t="s">
        <v>5466</v>
      </c>
      <c r="D779" s="21" t="s">
        <v>7</v>
      </c>
      <c r="E779" s="21" t="s">
        <v>5467</v>
      </c>
      <c r="F779" s="21" t="s">
        <v>5468</v>
      </c>
      <c r="G779" s="21"/>
    </row>
    <row r="780" ht="15.75" customHeight="1">
      <c r="A780" s="20" t="s">
        <v>5469</v>
      </c>
      <c r="B780" s="21" t="s">
        <v>2199</v>
      </c>
      <c r="C780" s="21" t="s">
        <v>5466</v>
      </c>
      <c r="D780" s="21" t="s">
        <v>7</v>
      </c>
      <c r="E780" s="21" t="s">
        <v>5470</v>
      </c>
      <c r="F780" s="21" t="s">
        <v>5471</v>
      </c>
      <c r="G780" s="21"/>
    </row>
    <row r="781" ht="15.75" customHeight="1">
      <c r="A781" s="20" t="s">
        <v>5472</v>
      </c>
      <c r="B781" s="21" t="s">
        <v>5473</v>
      </c>
      <c r="C781" s="21" t="s">
        <v>684</v>
      </c>
      <c r="D781" s="21" t="s">
        <v>7</v>
      </c>
      <c r="E781" s="21" t="s">
        <v>5474</v>
      </c>
      <c r="F781" s="21"/>
      <c r="G781" s="21"/>
    </row>
    <row r="782" ht="15.75" customHeight="1">
      <c r="A782" s="20" t="s">
        <v>5475</v>
      </c>
      <c r="B782" s="21" t="s">
        <v>590</v>
      </c>
      <c r="C782" s="21" t="s">
        <v>593</v>
      </c>
      <c r="D782" s="21" t="s">
        <v>7</v>
      </c>
      <c r="E782" s="21" t="s">
        <v>5476</v>
      </c>
      <c r="F782" s="21"/>
      <c r="G782" s="21"/>
    </row>
    <row r="783" ht="15.75" customHeight="1">
      <c r="A783" s="20" t="s">
        <v>5477</v>
      </c>
      <c r="B783" s="21" t="s">
        <v>590</v>
      </c>
      <c r="C783" s="21" t="s">
        <v>593</v>
      </c>
      <c r="D783" s="21" t="s">
        <v>7</v>
      </c>
      <c r="E783" s="21" t="s">
        <v>5478</v>
      </c>
      <c r="F783" s="21" t="s">
        <v>5479</v>
      </c>
      <c r="G783" s="21"/>
    </row>
    <row r="784" ht="15.75" customHeight="1">
      <c r="A784" s="20" t="s">
        <v>5480</v>
      </c>
      <c r="B784" s="21" t="s">
        <v>590</v>
      </c>
      <c r="C784" s="21" t="s">
        <v>593</v>
      </c>
      <c r="D784" s="21" t="s">
        <v>7</v>
      </c>
      <c r="E784" s="21" t="s">
        <v>5481</v>
      </c>
      <c r="F784" s="21" t="s">
        <v>5482</v>
      </c>
      <c r="G784" s="21"/>
    </row>
    <row r="785" ht="15.75" customHeight="1">
      <c r="A785" s="20" t="s">
        <v>3235</v>
      </c>
      <c r="B785" s="21" t="s">
        <v>590</v>
      </c>
      <c r="C785" s="21">
        <v>44120.0</v>
      </c>
      <c r="D785" s="21" t="s">
        <v>7</v>
      </c>
      <c r="E785" s="21" t="s">
        <v>3236</v>
      </c>
      <c r="F785" s="21" t="s">
        <v>5483</v>
      </c>
      <c r="G785" s="21" t="s">
        <v>5484</v>
      </c>
    </row>
    <row r="786" ht="15.75" customHeight="1">
      <c r="A786" s="20" t="s">
        <v>5485</v>
      </c>
      <c r="B786" s="21" t="s">
        <v>5486</v>
      </c>
      <c r="C786" s="21" t="s">
        <v>5487</v>
      </c>
      <c r="D786" s="21" t="s">
        <v>7</v>
      </c>
      <c r="E786" s="21" t="s">
        <v>5488</v>
      </c>
      <c r="F786" s="21" t="s">
        <v>5489</v>
      </c>
      <c r="G786" s="21"/>
    </row>
    <row r="787" ht="15.75" customHeight="1">
      <c r="A787" s="20" t="s">
        <v>244</v>
      </c>
      <c r="B787" s="21" t="s">
        <v>5490</v>
      </c>
      <c r="C787" s="21" t="s">
        <v>171</v>
      </c>
      <c r="D787" s="21" t="s">
        <v>7</v>
      </c>
      <c r="E787" s="21" t="s">
        <v>5491</v>
      </c>
      <c r="F787" s="21" t="s">
        <v>5492</v>
      </c>
      <c r="G787" s="21"/>
    </row>
    <row r="788" ht="15.75" customHeight="1">
      <c r="A788" s="20" t="s">
        <v>5493</v>
      </c>
      <c r="B788" s="21" t="s">
        <v>5490</v>
      </c>
      <c r="C788" s="21" t="s">
        <v>171</v>
      </c>
      <c r="D788" s="21" t="s">
        <v>7</v>
      </c>
      <c r="E788" s="21" t="s">
        <v>5494</v>
      </c>
      <c r="F788" s="21" t="s">
        <v>5495</v>
      </c>
      <c r="G788" s="21"/>
    </row>
    <row r="789" ht="15.75" customHeight="1">
      <c r="A789" s="20" t="s">
        <v>5496</v>
      </c>
      <c r="B789" s="21" t="s">
        <v>534</v>
      </c>
      <c r="C789" s="21" t="s">
        <v>4875</v>
      </c>
      <c r="D789" s="21" t="s">
        <v>7</v>
      </c>
      <c r="E789" s="21" t="s">
        <v>5497</v>
      </c>
      <c r="F789" s="21" t="s">
        <v>5498</v>
      </c>
      <c r="G789" s="21"/>
    </row>
    <row r="790" ht="15.75" customHeight="1">
      <c r="A790" s="20" t="s">
        <v>2742</v>
      </c>
      <c r="B790" s="21" t="s">
        <v>534</v>
      </c>
      <c r="C790" s="21" t="s">
        <v>4875</v>
      </c>
      <c r="D790" s="21" t="s">
        <v>7</v>
      </c>
      <c r="E790" s="21" t="s">
        <v>5499</v>
      </c>
      <c r="F790" s="21" t="s">
        <v>5500</v>
      </c>
      <c r="G790" s="21"/>
    </row>
    <row r="791" ht="15.75" customHeight="1">
      <c r="A791" s="20" t="s">
        <v>5501</v>
      </c>
      <c r="B791" s="21" t="s">
        <v>534</v>
      </c>
      <c r="C791" s="21" t="s">
        <v>4875</v>
      </c>
      <c r="D791" s="21" t="s">
        <v>7</v>
      </c>
      <c r="E791" s="21" t="s">
        <v>5502</v>
      </c>
      <c r="F791" s="21" t="s">
        <v>5503</v>
      </c>
      <c r="G791" s="21"/>
    </row>
    <row r="792" ht="15.75" customHeight="1">
      <c r="A792" s="20" t="s">
        <v>5504</v>
      </c>
      <c r="B792" s="21" t="s">
        <v>534</v>
      </c>
      <c r="C792" s="21" t="s">
        <v>4875</v>
      </c>
      <c r="D792" s="21" t="s">
        <v>7</v>
      </c>
      <c r="E792" s="21" t="s">
        <v>5505</v>
      </c>
      <c r="F792" s="21" t="s">
        <v>5506</v>
      </c>
      <c r="G792" s="21"/>
    </row>
    <row r="793" ht="15.75" customHeight="1">
      <c r="A793" s="20"/>
      <c r="B793" s="21"/>
      <c r="C793" s="21"/>
      <c r="D793" s="21"/>
      <c r="E793" s="21"/>
      <c r="F793" s="21"/>
      <c r="G793" s="21"/>
    </row>
    <row r="794" ht="15.75" customHeight="1">
      <c r="A794" s="2" t="s">
        <v>5507</v>
      </c>
      <c r="B794" s="6" t="s">
        <v>800</v>
      </c>
      <c r="C794" s="6" t="s">
        <v>802</v>
      </c>
      <c r="D794" s="6" t="s">
        <v>33</v>
      </c>
      <c r="E794" s="6" t="s">
        <v>5508</v>
      </c>
      <c r="F794" s="6" t="s">
        <v>5509</v>
      </c>
      <c r="G794" s="6"/>
    </row>
    <row r="795" ht="15.75" customHeight="1">
      <c r="A795" s="2" t="s">
        <v>5510</v>
      </c>
      <c r="B795" s="6" t="s">
        <v>872</v>
      </c>
      <c r="C795" s="6" t="s">
        <v>873</v>
      </c>
      <c r="D795" s="6" t="s">
        <v>33</v>
      </c>
      <c r="E795" s="6" t="s">
        <v>5511</v>
      </c>
      <c r="F795" s="6" t="s">
        <v>5512</v>
      </c>
      <c r="G795" s="6" t="s">
        <v>5513</v>
      </c>
    </row>
    <row r="796" ht="15.75" customHeight="1">
      <c r="A796" s="2" t="s">
        <v>5514</v>
      </c>
      <c r="B796" s="6" t="s">
        <v>872</v>
      </c>
      <c r="C796" s="6" t="s">
        <v>873</v>
      </c>
      <c r="D796" s="6" t="s">
        <v>33</v>
      </c>
      <c r="E796" s="6" t="s">
        <v>5515</v>
      </c>
      <c r="F796" s="6" t="s">
        <v>5516</v>
      </c>
      <c r="G796" s="6" t="s">
        <v>5517</v>
      </c>
    </row>
    <row r="797" ht="15.75" customHeight="1">
      <c r="A797" s="2" t="s">
        <v>5518</v>
      </c>
      <c r="B797" s="6" t="s">
        <v>5519</v>
      </c>
      <c r="C797" s="6" t="s">
        <v>5520</v>
      </c>
      <c r="D797" s="6" t="s">
        <v>33</v>
      </c>
      <c r="E797" s="6" t="s">
        <v>5521</v>
      </c>
      <c r="F797" s="6" t="s">
        <v>5522</v>
      </c>
      <c r="G797" s="6"/>
    </row>
    <row r="798" ht="15.75" customHeight="1">
      <c r="A798" s="2" t="s">
        <v>5523</v>
      </c>
      <c r="B798" s="6" t="s">
        <v>5524</v>
      </c>
      <c r="C798" s="6" t="s">
        <v>5520</v>
      </c>
      <c r="D798" s="6" t="s">
        <v>33</v>
      </c>
      <c r="E798" s="6" t="s">
        <v>5525</v>
      </c>
      <c r="F798" s="6" t="s">
        <v>5526</v>
      </c>
      <c r="G798" s="6"/>
    </row>
    <row r="799" ht="15.75" customHeight="1">
      <c r="A799" s="2" t="s">
        <v>5527</v>
      </c>
      <c r="B799" s="6" t="s">
        <v>5528</v>
      </c>
      <c r="C799" s="6" t="s">
        <v>986</v>
      </c>
      <c r="D799" s="6" t="s">
        <v>33</v>
      </c>
      <c r="E799" s="6" t="s">
        <v>5529</v>
      </c>
      <c r="F799" s="6" t="s">
        <v>5530</v>
      </c>
      <c r="G799" s="6"/>
    </row>
    <row r="800" ht="15.75" customHeight="1">
      <c r="A800" s="2" t="s">
        <v>5531</v>
      </c>
      <c r="B800" s="6" t="s">
        <v>5532</v>
      </c>
      <c r="C800" s="6" t="s">
        <v>5533</v>
      </c>
      <c r="D800" s="6" t="s">
        <v>33</v>
      </c>
      <c r="E800" s="6" t="s">
        <v>5534</v>
      </c>
      <c r="F800" s="6" t="s">
        <v>5535</v>
      </c>
      <c r="G800" s="6" t="s">
        <v>5536</v>
      </c>
    </row>
    <row r="801" ht="15.75" customHeight="1">
      <c r="A801" s="2" t="s">
        <v>5537</v>
      </c>
      <c r="B801" s="6" t="s">
        <v>1136</v>
      </c>
      <c r="C801" s="6" t="s">
        <v>1095</v>
      </c>
      <c r="D801" s="6" t="s">
        <v>33</v>
      </c>
      <c r="E801" s="6" t="s">
        <v>5538</v>
      </c>
      <c r="F801" s="6" t="s">
        <v>5539</v>
      </c>
      <c r="G801" s="6"/>
    </row>
    <row r="802" ht="15.75" customHeight="1">
      <c r="A802" s="2" t="s">
        <v>5540</v>
      </c>
      <c r="B802" s="6" t="s">
        <v>1136</v>
      </c>
      <c r="C802" s="6" t="s">
        <v>1095</v>
      </c>
      <c r="D802" s="6" t="s">
        <v>33</v>
      </c>
      <c r="E802" s="6" t="s">
        <v>5541</v>
      </c>
      <c r="F802" s="6" t="s">
        <v>5542</v>
      </c>
      <c r="G802" s="6"/>
    </row>
    <row r="803" ht="15.75" customHeight="1">
      <c r="A803" s="2" t="s">
        <v>5543</v>
      </c>
      <c r="B803" s="6" t="s">
        <v>1136</v>
      </c>
      <c r="C803" s="6" t="s">
        <v>1095</v>
      </c>
      <c r="D803" s="6" t="s">
        <v>33</v>
      </c>
      <c r="E803" s="6" t="s">
        <v>5544</v>
      </c>
      <c r="F803" s="6" t="s">
        <v>5545</v>
      </c>
      <c r="G803" s="6"/>
    </row>
    <row r="804" ht="15.75" customHeight="1">
      <c r="A804" s="2" t="s">
        <v>5546</v>
      </c>
      <c r="B804" s="6" t="s">
        <v>1136</v>
      </c>
      <c r="C804" s="6" t="s">
        <v>1095</v>
      </c>
      <c r="D804" s="6" t="s">
        <v>33</v>
      </c>
      <c r="E804" s="6" t="s">
        <v>5547</v>
      </c>
      <c r="F804" s="6" t="s">
        <v>5548</v>
      </c>
      <c r="G804" s="6"/>
    </row>
    <row r="805" ht="15.75" customHeight="1">
      <c r="A805" s="2" t="s">
        <v>5549</v>
      </c>
      <c r="B805" s="6" t="s">
        <v>5550</v>
      </c>
      <c r="C805" s="6" t="s">
        <v>847</v>
      </c>
      <c r="D805" s="6" t="s">
        <v>33</v>
      </c>
      <c r="E805" s="6" t="s">
        <v>5551</v>
      </c>
      <c r="F805" s="6" t="s">
        <v>5552</v>
      </c>
      <c r="G805" s="6"/>
    </row>
    <row r="806" ht="15.75" customHeight="1">
      <c r="A806" s="2" t="s">
        <v>5553</v>
      </c>
      <c r="B806" s="6" t="s">
        <v>5554</v>
      </c>
      <c r="C806" s="6" t="s">
        <v>5555</v>
      </c>
      <c r="D806" s="6" t="s">
        <v>33</v>
      </c>
      <c r="E806" s="6" t="s">
        <v>5556</v>
      </c>
      <c r="F806" s="6" t="s">
        <v>5557</v>
      </c>
      <c r="G806" s="6"/>
    </row>
    <row r="807" ht="15.75" customHeight="1">
      <c r="A807" s="20" t="s">
        <v>90</v>
      </c>
      <c r="B807" s="21"/>
      <c r="C807" s="21"/>
      <c r="D807" s="21" t="s">
        <v>33</v>
      </c>
      <c r="E807" s="21" t="s">
        <v>5558</v>
      </c>
      <c r="F807" s="21" t="s">
        <v>5559</v>
      </c>
      <c r="G807" s="21"/>
    </row>
    <row r="808" ht="15.75" customHeight="1">
      <c r="A808" s="20" t="s">
        <v>5560</v>
      </c>
      <c r="B808" s="21"/>
      <c r="C808" s="21" t="s">
        <v>1095</v>
      </c>
      <c r="D808" s="21" t="s">
        <v>33</v>
      </c>
      <c r="E808" s="21" t="s">
        <v>5561</v>
      </c>
      <c r="F808" s="21" t="s">
        <v>5562</v>
      </c>
      <c r="G808" s="21"/>
    </row>
    <row r="809" ht="15.75" customHeight="1">
      <c r="A809" s="20" t="s">
        <v>5563</v>
      </c>
      <c r="B809" s="21"/>
      <c r="C809" s="21"/>
      <c r="D809" s="21" t="s">
        <v>33</v>
      </c>
      <c r="E809" s="21" t="s">
        <v>5564</v>
      </c>
      <c r="F809" s="21" t="s">
        <v>5565</v>
      </c>
      <c r="G809" s="21"/>
    </row>
    <row r="810" ht="15.75" customHeight="1">
      <c r="A810" s="20" t="s">
        <v>5566</v>
      </c>
      <c r="B810" s="21"/>
      <c r="C810" s="21"/>
      <c r="D810" s="21" t="s">
        <v>33</v>
      </c>
      <c r="E810" s="21" t="s">
        <v>5567</v>
      </c>
      <c r="F810" s="21" t="s">
        <v>5568</v>
      </c>
      <c r="G810" s="21"/>
    </row>
    <row r="811" ht="15.75" customHeight="1">
      <c r="A811" s="20" t="s">
        <v>5569</v>
      </c>
      <c r="B811" s="21"/>
      <c r="C811" s="21"/>
      <c r="D811" s="21" t="s">
        <v>33</v>
      </c>
      <c r="E811" s="21" t="s">
        <v>5570</v>
      </c>
      <c r="F811" s="21" t="s">
        <v>5571</v>
      </c>
      <c r="G811" s="21"/>
    </row>
    <row r="812" ht="15.75" customHeight="1">
      <c r="A812" s="20" t="s">
        <v>5572</v>
      </c>
      <c r="B812" s="21"/>
      <c r="C812" s="21"/>
      <c r="D812" s="21" t="s">
        <v>33</v>
      </c>
      <c r="E812" s="21" t="s">
        <v>5573</v>
      </c>
      <c r="F812" s="21" t="s">
        <v>5574</v>
      </c>
      <c r="G812" s="21"/>
    </row>
    <row r="813" ht="15.75" customHeight="1">
      <c r="A813" s="20" t="s">
        <v>5575</v>
      </c>
      <c r="B813" s="21"/>
      <c r="C813" s="21"/>
      <c r="D813" s="21" t="s">
        <v>33</v>
      </c>
      <c r="E813" s="21" t="s">
        <v>5576</v>
      </c>
      <c r="F813" s="21" t="s">
        <v>5577</v>
      </c>
      <c r="G813" s="21"/>
    </row>
    <row r="814" ht="15.75" customHeight="1">
      <c r="A814" s="20" t="s">
        <v>5578</v>
      </c>
      <c r="B814" s="21"/>
      <c r="C814" s="21"/>
      <c r="D814" s="21" t="s">
        <v>33</v>
      </c>
      <c r="E814" s="21" t="s">
        <v>5579</v>
      </c>
      <c r="F814" s="21" t="s">
        <v>5580</v>
      </c>
      <c r="G814" s="21"/>
    </row>
    <row r="815" ht="15.75" customHeight="1">
      <c r="A815" s="20" t="s">
        <v>5581</v>
      </c>
      <c r="B815" s="21"/>
      <c r="C815" s="21"/>
      <c r="D815" s="21" t="s">
        <v>33</v>
      </c>
      <c r="E815" s="21" t="s">
        <v>5582</v>
      </c>
      <c r="F815" s="21" t="s">
        <v>5583</v>
      </c>
      <c r="G815" s="21"/>
    </row>
    <row r="816" ht="15.75" customHeight="1">
      <c r="A816" s="20" t="s">
        <v>5584</v>
      </c>
      <c r="B816" s="21"/>
      <c r="C816" s="21"/>
      <c r="D816" s="21" t="s">
        <v>33</v>
      </c>
      <c r="E816" s="21" t="s">
        <v>5585</v>
      </c>
      <c r="F816" s="21" t="s">
        <v>5586</v>
      </c>
      <c r="G816" s="21"/>
    </row>
    <row r="817" ht="15.75" customHeight="1">
      <c r="A817" s="20" t="s">
        <v>5587</v>
      </c>
      <c r="B817" s="21"/>
      <c r="C817" s="21"/>
      <c r="D817" s="21" t="s">
        <v>33</v>
      </c>
      <c r="E817" s="21" t="s">
        <v>5588</v>
      </c>
      <c r="F817" s="21" t="s">
        <v>5589</v>
      </c>
      <c r="G817" s="21"/>
    </row>
    <row r="818" ht="15.75" customHeight="1">
      <c r="A818" s="20" t="s">
        <v>5590</v>
      </c>
      <c r="B818" s="21"/>
      <c r="C818" s="21"/>
      <c r="D818" s="21" t="s">
        <v>33</v>
      </c>
      <c r="E818" s="21" t="s">
        <v>5591</v>
      </c>
      <c r="F818" s="21" t="s">
        <v>5592</v>
      </c>
      <c r="G818" s="21"/>
    </row>
    <row r="819" ht="15.75" customHeight="1">
      <c r="A819" s="20" t="s">
        <v>5593</v>
      </c>
      <c r="B819" s="21"/>
      <c r="C819" s="21"/>
      <c r="D819" s="21" t="s">
        <v>33</v>
      </c>
      <c r="E819" s="21" t="s">
        <v>5594</v>
      </c>
      <c r="F819" s="21" t="s">
        <v>5595</v>
      </c>
      <c r="G819" s="21"/>
    </row>
    <row r="820" ht="15.75" customHeight="1">
      <c r="A820" s="20" t="s">
        <v>5596</v>
      </c>
      <c r="B820" s="21"/>
      <c r="C820" s="21"/>
      <c r="D820" s="21" t="s">
        <v>33</v>
      </c>
      <c r="E820" s="21" t="s">
        <v>5597</v>
      </c>
      <c r="F820" s="21" t="s">
        <v>5598</v>
      </c>
      <c r="G820" s="21"/>
    </row>
    <row r="821" ht="15.75" customHeight="1">
      <c r="A821" s="20" t="s">
        <v>5599</v>
      </c>
      <c r="B821" s="21"/>
      <c r="C821" s="21"/>
      <c r="D821" s="21" t="s">
        <v>33</v>
      </c>
      <c r="E821" s="21" t="s">
        <v>5600</v>
      </c>
      <c r="F821" s="21" t="s">
        <v>5601</v>
      </c>
      <c r="G821" s="21"/>
    </row>
    <row r="822" ht="15.75" customHeight="1">
      <c r="A822" s="20" t="s">
        <v>3190</v>
      </c>
      <c r="B822" s="21"/>
      <c r="C822" s="21"/>
      <c r="D822" s="21" t="s">
        <v>33</v>
      </c>
      <c r="E822" s="21" t="s">
        <v>5602</v>
      </c>
      <c r="F822" s="21" t="s">
        <v>5603</v>
      </c>
      <c r="G822" s="21"/>
    </row>
    <row r="823" ht="15.75" customHeight="1">
      <c r="A823" s="20" t="s">
        <v>5604</v>
      </c>
      <c r="B823" s="21"/>
      <c r="C823" s="21"/>
      <c r="D823" s="21" t="s">
        <v>33</v>
      </c>
      <c r="E823" s="21" t="s">
        <v>5605</v>
      </c>
      <c r="F823" s="21" t="s">
        <v>5606</v>
      </c>
      <c r="G823" s="21"/>
    </row>
    <row r="824" ht="15.75" customHeight="1">
      <c r="A824" s="20" t="s">
        <v>5607</v>
      </c>
      <c r="B824" s="21"/>
      <c r="C824" s="21" t="s">
        <v>617</v>
      </c>
      <c r="D824" s="21" t="s">
        <v>33</v>
      </c>
      <c r="E824" s="21" t="s">
        <v>5608</v>
      </c>
      <c r="F824" s="21" t="s">
        <v>5609</v>
      </c>
      <c r="G824" s="21"/>
    </row>
    <row r="825" ht="15.75" customHeight="1">
      <c r="A825" s="20" t="s">
        <v>5610</v>
      </c>
      <c r="B825" s="21"/>
      <c r="C825" s="21"/>
      <c r="D825" s="21" t="s">
        <v>33</v>
      </c>
      <c r="E825" s="21" t="s">
        <v>5611</v>
      </c>
      <c r="F825" s="21" t="s">
        <v>5612</v>
      </c>
      <c r="G825" s="21"/>
    </row>
    <row r="826" ht="15.75" customHeight="1">
      <c r="A826" s="20" t="s">
        <v>5613</v>
      </c>
      <c r="B826" s="21"/>
      <c r="C826" s="21" t="s">
        <v>1095</v>
      </c>
      <c r="D826" s="21" t="s">
        <v>33</v>
      </c>
      <c r="E826" s="21" t="s">
        <v>5614</v>
      </c>
      <c r="F826" s="21" t="s">
        <v>5615</v>
      </c>
      <c r="G826" s="21"/>
    </row>
    <row r="827" ht="15.75" customHeight="1">
      <c r="A827" s="20" t="s">
        <v>5616</v>
      </c>
      <c r="B827" s="21"/>
      <c r="C827" s="21" t="s">
        <v>617</v>
      </c>
      <c r="D827" s="21" t="s">
        <v>33</v>
      </c>
      <c r="E827" s="21" t="s">
        <v>5617</v>
      </c>
      <c r="F827" s="21" t="s">
        <v>5618</v>
      </c>
      <c r="G827" s="21"/>
    </row>
    <row r="828" ht="15.75" customHeight="1">
      <c r="A828" s="20" t="s">
        <v>5619</v>
      </c>
      <c r="B828" s="21"/>
      <c r="C828" s="21" t="s">
        <v>686</v>
      </c>
      <c r="D828" s="21" t="s">
        <v>33</v>
      </c>
      <c r="E828" s="21" t="s">
        <v>5620</v>
      </c>
      <c r="F828" s="21" t="s">
        <v>5621</v>
      </c>
      <c r="G828" s="21"/>
    </row>
    <row r="829" ht="15.75" customHeight="1">
      <c r="A829" s="20" t="s">
        <v>5622</v>
      </c>
      <c r="B829" s="21" t="s">
        <v>616</v>
      </c>
      <c r="C829" s="21" t="s">
        <v>617</v>
      </c>
      <c r="D829" s="21" t="s">
        <v>33</v>
      </c>
      <c r="E829" s="21" t="s">
        <v>5623</v>
      </c>
      <c r="F829" s="21" t="s">
        <v>5624</v>
      </c>
      <c r="G829" s="21"/>
    </row>
    <row r="830" ht="15.75" customHeight="1">
      <c r="A830" s="20" t="s">
        <v>5625</v>
      </c>
      <c r="B830" s="21" t="s">
        <v>616</v>
      </c>
      <c r="C830" s="21" t="s">
        <v>617</v>
      </c>
      <c r="D830" s="21" t="s">
        <v>33</v>
      </c>
      <c r="E830" s="21" t="s">
        <v>5626</v>
      </c>
      <c r="F830" s="21" t="s">
        <v>5627</v>
      </c>
      <c r="G830" s="21"/>
    </row>
    <row r="831" ht="15.75" customHeight="1">
      <c r="A831" s="20" t="s">
        <v>5628</v>
      </c>
      <c r="B831" s="21" t="s">
        <v>616</v>
      </c>
      <c r="C831" s="21" t="s">
        <v>617</v>
      </c>
      <c r="D831" s="21" t="s">
        <v>33</v>
      </c>
      <c r="E831" s="21" t="s">
        <v>5629</v>
      </c>
      <c r="F831" s="21" t="s">
        <v>5630</v>
      </c>
      <c r="G831" s="21"/>
    </row>
    <row r="832" ht="15.75" customHeight="1">
      <c r="A832" s="20" t="s">
        <v>5631</v>
      </c>
      <c r="B832" s="21" t="s">
        <v>616</v>
      </c>
      <c r="C832" s="21" t="s">
        <v>617</v>
      </c>
      <c r="D832" s="21" t="s">
        <v>33</v>
      </c>
      <c r="E832" s="21" t="s">
        <v>5632</v>
      </c>
      <c r="F832" s="21" t="s">
        <v>5633</v>
      </c>
      <c r="G832" s="21"/>
    </row>
    <row r="833" ht="15.75" customHeight="1">
      <c r="A833" s="20" t="s">
        <v>5634</v>
      </c>
      <c r="B833" s="21" t="s">
        <v>616</v>
      </c>
      <c r="C833" s="21" t="s">
        <v>686</v>
      </c>
      <c r="D833" s="21" t="s">
        <v>33</v>
      </c>
      <c r="E833" s="21" t="s">
        <v>5635</v>
      </c>
      <c r="F833" s="21" t="s">
        <v>5636</v>
      </c>
      <c r="G833" s="21"/>
    </row>
    <row r="834" ht="15.75" customHeight="1">
      <c r="A834" s="20" t="s">
        <v>5637</v>
      </c>
      <c r="B834" s="21" t="s">
        <v>616</v>
      </c>
      <c r="C834" s="21" t="s">
        <v>617</v>
      </c>
      <c r="D834" s="21" t="s">
        <v>33</v>
      </c>
      <c r="E834" s="21" t="s">
        <v>5638</v>
      </c>
      <c r="F834" s="21" t="s">
        <v>5639</v>
      </c>
      <c r="G834" s="21"/>
    </row>
    <row r="835" ht="15.75" customHeight="1">
      <c r="A835" s="20" t="s">
        <v>5640</v>
      </c>
      <c r="B835" s="21" t="s">
        <v>616</v>
      </c>
      <c r="C835" s="21" t="s">
        <v>617</v>
      </c>
      <c r="D835" s="21" t="s">
        <v>33</v>
      </c>
      <c r="E835" s="21" t="s">
        <v>5641</v>
      </c>
      <c r="F835" s="21" t="s">
        <v>5642</v>
      </c>
      <c r="G835" s="21"/>
    </row>
    <row r="836" ht="15.75" customHeight="1">
      <c r="A836" s="20" t="s">
        <v>5643</v>
      </c>
      <c r="B836" s="21" t="s">
        <v>616</v>
      </c>
      <c r="C836" s="21" t="s">
        <v>617</v>
      </c>
      <c r="D836" s="21" t="s">
        <v>33</v>
      </c>
      <c r="E836" s="21" t="s">
        <v>5644</v>
      </c>
      <c r="F836" s="21" t="s">
        <v>5645</v>
      </c>
      <c r="G836" s="21"/>
    </row>
    <row r="837" ht="15.75" customHeight="1">
      <c r="A837" s="20" t="s">
        <v>5646</v>
      </c>
      <c r="B837" s="21" t="s">
        <v>616</v>
      </c>
      <c r="C837" s="21" t="s">
        <v>686</v>
      </c>
      <c r="D837" s="21" t="s">
        <v>33</v>
      </c>
      <c r="E837" s="21" t="s">
        <v>5647</v>
      </c>
      <c r="F837" s="21" t="s">
        <v>5648</v>
      </c>
      <c r="G837" s="21"/>
    </row>
    <row r="838" ht="15.75" customHeight="1">
      <c r="A838" s="20" t="s">
        <v>5649</v>
      </c>
      <c r="B838" s="21" t="s">
        <v>616</v>
      </c>
      <c r="C838" s="21" t="s">
        <v>617</v>
      </c>
      <c r="D838" s="21" t="s">
        <v>33</v>
      </c>
      <c r="E838" s="21" t="s">
        <v>5650</v>
      </c>
      <c r="F838" s="21" t="s">
        <v>5651</v>
      </c>
      <c r="G838" s="21"/>
    </row>
    <row r="839" ht="15.75" customHeight="1">
      <c r="A839" s="20" t="s">
        <v>5652</v>
      </c>
      <c r="B839" s="21" t="s">
        <v>616</v>
      </c>
      <c r="C839" s="21" t="s">
        <v>617</v>
      </c>
      <c r="D839" s="21" t="s">
        <v>33</v>
      </c>
      <c r="E839" s="21" t="s">
        <v>5653</v>
      </c>
      <c r="F839" s="21" t="s">
        <v>5654</v>
      </c>
      <c r="G839" s="21"/>
    </row>
    <row r="840" ht="15.75" customHeight="1">
      <c r="A840" s="20" t="s">
        <v>5655</v>
      </c>
      <c r="B840" s="21" t="s">
        <v>616</v>
      </c>
      <c r="C840" s="21" t="s">
        <v>617</v>
      </c>
      <c r="D840" s="21" t="s">
        <v>33</v>
      </c>
      <c r="E840" s="21" t="s">
        <v>5656</v>
      </c>
      <c r="F840" s="21" t="s">
        <v>5657</v>
      </c>
      <c r="G840" s="21"/>
    </row>
    <row r="841" ht="15.75" customHeight="1">
      <c r="A841" s="20" t="s">
        <v>5658</v>
      </c>
      <c r="B841" s="21" t="s">
        <v>616</v>
      </c>
      <c r="C841" s="21" t="s">
        <v>617</v>
      </c>
      <c r="D841" s="21" t="s">
        <v>33</v>
      </c>
      <c r="E841" s="21" t="s">
        <v>5659</v>
      </c>
      <c r="F841" s="21" t="s">
        <v>5660</v>
      </c>
      <c r="G841" s="21"/>
    </row>
    <row r="842" ht="15.75" customHeight="1">
      <c r="A842" s="20" t="s">
        <v>5661</v>
      </c>
      <c r="B842" s="21" t="s">
        <v>616</v>
      </c>
      <c r="C842" s="21" t="s">
        <v>617</v>
      </c>
      <c r="D842" s="21" t="s">
        <v>33</v>
      </c>
      <c r="E842" s="21" t="s">
        <v>5662</v>
      </c>
      <c r="F842" s="21" t="s">
        <v>5663</v>
      </c>
      <c r="G842" s="21"/>
    </row>
    <row r="843" ht="15.75" customHeight="1">
      <c r="A843" s="20" t="s">
        <v>5664</v>
      </c>
      <c r="B843" s="21" t="s">
        <v>616</v>
      </c>
      <c r="C843" s="21" t="s">
        <v>686</v>
      </c>
      <c r="D843" s="21" t="s">
        <v>33</v>
      </c>
      <c r="E843" s="21" t="s">
        <v>5665</v>
      </c>
      <c r="F843" s="21" t="s">
        <v>5666</v>
      </c>
      <c r="G843" s="21"/>
    </row>
    <row r="844" ht="15.75" customHeight="1">
      <c r="A844" s="20" t="s">
        <v>5667</v>
      </c>
      <c r="B844" s="21" t="s">
        <v>616</v>
      </c>
      <c r="C844" s="21" t="s">
        <v>617</v>
      </c>
      <c r="D844" s="21" t="s">
        <v>33</v>
      </c>
      <c r="E844" s="21" t="s">
        <v>5668</v>
      </c>
      <c r="F844" s="21" t="s">
        <v>5669</v>
      </c>
      <c r="G844" s="21"/>
    </row>
    <row r="845" ht="15.75" customHeight="1">
      <c r="A845" s="20" t="s">
        <v>5670</v>
      </c>
      <c r="B845" s="21" t="s">
        <v>616</v>
      </c>
      <c r="C845" s="21" t="s">
        <v>686</v>
      </c>
      <c r="D845" s="21" t="s">
        <v>33</v>
      </c>
      <c r="E845" s="21" t="s">
        <v>5671</v>
      </c>
      <c r="F845" s="21" t="s">
        <v>5672</v>
      </c>
      <c r="G845" s="21"/>
    </row>
    <row r="846" ht="15.75" customHeight="1">
      <c r="A846" s="20" t="s">
        <v>5673</v>
      </c>
      <c r="B846" s="21" t="s">
        <v>616</v>
      </c>
      <c r="C846" s="21" t="s">
        <v>617</v>
      </c>
      <c r="D846" s="21" t="s">
        <v>33</v>
      </c>
      <c r="E846" s="21" t="s">
        <v>5674</v>
      </c>
      <c r="F846" s="21" t="s">
        <v>5675</v>
      </c>
      <c r="G846" s="21"/>
    </row>
    <row r="847" ht="15.75" customHeight="1">
      <c r="A847" s="20" t="s">
        <v>5676</v>
      </c>
      <c r="B847" s="21" t="s">
        <v>616</v>
      </c>
      <c r="C847" s="21" t="s">
        <v>617</v>
      </c>
      <c r="D847" s="21" t="s">
        <v>33</v>
      </c>
      <c r="E847" s="21" t="s">
        <v>5677</v>
      </c>
      <c r="F847" s="21" t="s">
        <v>5678</v>
      </c>
      <c r="G847" s="21"/>
    </row>
    <row r="848" ht="15.75" customHeight="1">
      <c r="A848" s="20" t="s">
        <v>5679</v>
      </c>
      <c r="B848" s="21" t="s">
        <v>616</v>
      </c>
      <c r="C848" s="21" t="s">
        <v>617</v>
      </c>
      <c r="D848" s="21" t="s">
        <v>33</v>
      </c>
      <c r="E848" s="21" t="s">
        <v>5680</v>
      </c>
      <c r="F848" s="21" t="s">
        <v>5681</v>
      </c>
      <c r="G848" s="21"/>
    </row>
    <row r="849" ht="15.75" customHeight="1">
      <c r="A849" s="20" t="s">
        <v>5682</v>
      </c>
      <c r="B849" s="21" t="s">
        <v>616</v>
      </c>
      <c r="C849" s="21" t="s">
        <v>617</v>
      </c>
      <c r="D849" s="21" t="s">
        <v>33</v>
      </c>
      <c r="E849" s="21" t="s">
        <v>5683</v>
      </c>
      <c r="F849" s="21" t="s">
        <v>5684</v>
      </c>
      <c r="G849" s="21"/>
    </row>
    <row r="850" ht="15.75" customHeight="1">
      <c r="A850" s="20" t="s">
        <v>5685</v>
      </c>
      <c r="B850" s="21" t="s">
        <v>616</v>
      </c>
      <c r="C850" s="21" t="s">
        <v>686</v>
      </c>
      <c r="D850" s="21" t="s">
        <v>33</v>
      </c>
      <c r="E850" s="21" t="s">
        <v>5686</v>
      </c>
      <c r="F850" s="21" t="s">
        <v>5687</v>
      </c>
      <c r="G850" s="21"/>
    </row>
    <row r="851" ht="15.75" customHeight="1">
      <c r="A851" s="20" t="s">
        <v>5688</v>
      </c>
      <c r="B851" s="21" t="s">
        <v>616</v>
      </c>
      <c r="C851" s="21" t="s">
        <v>617</v>
      </c>
      <c r="D851" s="21" t="s">
        <v>33</v>
      </c>
      <c r="E851" s="21" t="s">
        <v>5689</v>
      </c>
      <c r="F851" s="21" t="s">
        <v>5690</v>
      </c>
      <c r="G851" s="21"/>
    </row>
    <row r="852" ht="15.75" customHeight="1">
      <c r="A852" s="20" t="s">
        <v>5691</v>
      </c>
      <c r="B852" s="21" t="s">
        <v>616</v>
      </c>
      <c r="C852" s="21" t="s">
        <v>686</v>
      </c>
      <c r="D852" s="21" t="s">
        <v>33</v>
      </c>
      <c r="E852" s="21" t="s">
        <v>5692</v>
      </c>
      <c r="F852" s="21" t="s">
        <v>5693</v>
      </c>
      <c r="G852" s="21"/>
    </row>
    <row r="853" ht="15.75" customHeight="1">
      <c r="A853" s="20" t="s">
        <v>5694</v>
      </c>
      <c r="B853" s="21" t="s">
        <v>616</v>
      </c>
      <c r="C853" s="21" t="s">
        <v>617</v>
      </c>
      <c r="D853" s="21" t="s">
        <v>33</v>
      </c>
      <c r="E853" s="21" t="s">
        <v>5695</v>
      </c>
      <c r="F853" s="21" t="s">
        <v>5696</v>
      </c>
      <c r="G853" s="21"/>
    </row>
    <row r="854" ht="15.75" customHeight="1">
      <c r="A854" s="20" t="s">
        <v>5697</v>
      </c>
      <c r="B854" s="21" t="s">
        <v>616</v>
      </c>
      <c r="C854" s="21" t="s">
        <v>617</v>
      </c>
      <c r="D854" s="21" t="s">
        <v>33</v>
      </c>
      <c r="E854" s="21" t="s">
        <v>5698</v>
      </c>
      <c r="F854" s="21" t="s">
        <v>5699</v>
      </c>
      <c r="G854" s="21"/>
    </row>
    <row r="855" ht="15.75" customHeight="1">
      <c r="A855" s="20" t="s">
        <v>5700</v>
      </c>
      <c r="B855" s="21" t="s">
        <v>616</v>
      </c>
      <c r="C855" s="21" t="s">
        <v>617</v>
      </c>
      <c r="D855" s="21" t="s">
        <v>33</v>
      </c>
      <c r="E855" s="21" t="s">
        <v>5701</v>
      </c>
      <c r="F855" s="21" t="s">
        <v>5702</v>
      </c>
      <c r="G855" s="21"/>
    </row>
    <row r="856" ht="15.75" customHeight="1">
      <c r="A856" s="20" t="s">
        <v>5703</v>
      </c>
      <c r="B856" s="21" t="s">
        <v>616</v>
      </c>
      <c r="C856" s="21" t="s">
        <v>617</v>
      </c>
      <c r="D856" s="21" t="s">
        <v>33</v>
      </c>
      <c r="E856" s="21" t="s">
        <v>5704</v>
      </c>
      <c r="F856" s="21" t="s">
        <v>5705</v>
      </c>
      <c r="G856" s="21"/>
    </row>
    <row r="857" ht="15.75" customHeight="1">
      <c r="A857" s="20" t="s">
        <v>5706</v>
      </c>
      <c r="B857" s="21" t="s">
        <v>616</v>
      </c>
      <c r="C857" s="21" t="s">
        <v>617</v>
      </c>
      <c r="D857" s="21" t="s">
        <v>33</v>
      </c>
      <c r="E857" s="21" t="s">
        <v>5707</v>
      </c>
      <c r="F857" s="21" t="s">
        <v>5708</v>
      </c>
      <c r="G857" s="21"/>
    </row>
    <row r="858" ht="15.75" customHeight="1">
      <c r="A858" s="20" t="s">
        <v>5709</v>
      </c>
      <c r="B858" s="21" t="s">
        <v>616</v>
      </c>
      <c r="C858" s="21" t="s">
        <v>686</v>
      </c>
      <c r="D858" s="21" t="s">
        <v>33</v>
      </c>
      <c r="E858" s="21" t="s">
        <v>5710</v>
      </c>
      <c r="F858" s="21" t="s">
        <v>5711</v>
      </c>
      <c r="G858" s="21"/>
    </row>
    <row r="859" ht="15.75" customHeight="1">
      <c r="A859" s="20" t="s">
        <v>5712</v>
      </c>
      <c r="B859" s="21" t="s">
        <v>616</v>
      </c>
      <c r="C859" s="21" t="s">
        <v>617</v>
      </c>
      <c r="D859" s="21" t="s">
        <v>33</v>
      </c>
      <c r="E859" s="21" t="s">
        <v>5713</v>
      </c>
      <c r="F859" s="21" t="s">
        <v>5714</v>
      </c>
      <c r="G859" s="21"/>
    </row>
    <row r="860" ht="15.75" customHeight="1">
      <c r="A860" s="20" t="s">
        <v>5715</v>
      </c>
      <c r="B860" s="21" t="s">
        <v>616</v>
      </c>
      <c r="C860" s="21" t="s">
        <v>617</v>
      </c>
      <c r="D860" s="21" t="s">
        <v>33</v>
      </c>
      <c r="E860" s="21" t="s">
        <v>5716</v>
      </c>
      <c r="F860" s="21" t="s">
        <v>5717</v>
      </c>
      <c r="G860" s="21"/>
    </row>
    <row r="861" ht="15.75" customHeight="1">
      <c r="A861" s="20" t="s">
        <v>5718</v>
      </c>
      <c r="B861" s="21" t="s">
        <v>616</v>
      </c>
      <c r="C861" s="21" t="s">
        <v>686</v>
      </c>
      <c r="D861" s="21" t="s">
        <v>33</v>
      </c>
      <c r="E861" s="21" t="s">
        <v>5719</v>
      </c>
      <c r="F861" s="21"/>
      <c r="G861" s="21"/>
    </row>
    <row r="862" ht="15.75" customHeight="1">
      <c r="A862" s="20" t="s">
        <v>5720</v>
      </c>
      <c r="B862" s="21" t="s">
        <v>616</v>
      </c>
      <c r="C862" s="21" t="s">
        <v>686</v>
      </c>
      <c r="D862" s="21" t="s">
        <v>33</v>
      </c>
      <c r="E862" s="21" t="s">
        <v>5721</v>
      </c>
      <c r="F862" s="21" t="s">
        <v>5722</v>
      </c>
      <c r="G862" s="21"/>
    </row>
    <row r="863" ht="15.75" customHeight="1">
      <c r="A863" s="20" t="s">
        <v>5723</v>
      </c>
      <c r="B863" s="21" t="s">
        <v>616</v>
      </c>
      <c r="C863" s="21" t="s">
        <v>617</v>
      </c>
      <c r="D863" s="21" t="s">
        <v>33</v>
      </c>
      <c r="E863" s="21" t="s">
        <v>5724</v>
      </c>
      <c r="F863" s="21" t="s">
        <v>5725</v>
      </c>
      <c r="G863" s="21"/>
    </row>
    <row r="864" ht="15.75" customHeight="1">
      <c r="A864" s="20" t="s">
        <v>5726</v>
      </c>
      <c r="B864" s="21" t="s">
        <v>616</v>
      </c>
      <c r="C864" s="21" t="s">
        <v>686</v>
      </c>
      <c r="D864" s="21" t="s">
        <v>33</v>
      </c>
      <c r="E864" s="21" t="s">
        <v>5727</v>
      </c>
      <c r="F864" s="21" t="s">
        <v>5728</v>
      </c>
      <c r="G864" s="21"/>
    </row>
    <row r="865" ht="15.75" customHeight="1">
      <c r="A865" s="20" t="s">
        <v>5729</v>
      </c>
      <c r="B865" s="21" t="s">
        <v>616</v>
      </c>
      <c r="C865" s="21" t="s">
        <v>617</v>
      </c>
      <c r="D865" s="21" t="s">
        <v>33</v>
      </c>
      <c r="E865" s="21" t="s">
        <v>5730</v>
      </c>
      <c r="F865" s="21" t="s">
        <v>5731</v>
      </c>
      <c r="G865" s="21"/>
    </row>
    <row r="866" ht="15.75" customHeight="1">
      <c r="A866" s="20" t="s">
        <v>5732</v>
      </c>
      <c r="B866" s="21" t="s">
        <v>616</v>
      </c>
      <c r="C866" s="21" t="s">
        <v>617</v>
      </c>
      <c r="D866" s="21" t="s">
        <v>33</v>
      </c>
      <c r="E866" s="21" t="s">
        <v>5733</v>
      </c>
      <c r="F866" s="21" t="s">
        <v>5734</v>
      </c>
      <c r="G866" s="21"/>
    </row>
    <row r="867" ht="15.75" customHeight="1">
      <c r="A867" s="20" t="s">
        <v>5735</v>
      </c>
      <c r="B867" s="21" t="s">
        <v>616</v>
      </c>
      <c r="C867" s="21" t="s">
        <v>617</v>
      </c>
      <c r="D867" s="21" t="s">
        <v>33</v>
      </c>
      <c r="E867" s="21" t="s">
        <v>5736</v>
      </c>
      <c r="F867" s="21" t="s">
        <v>5737</v>
      </c>
      <c r="G867" s="21"/>
    </row>
    <row r="868" ht="15.75" customHeight="1">
      <c r="A868" s="20" t="s">
        <v>5738</v>
      </c>
      <c r="B868" s="21" t="s">
        <v>616</v>
      </c>
      <c r="C868" s="21" t="s">
        <v>617</v>
      </c>
      <c r="D868" s="21" t="s">
        <v>33</v>
      </c>
      <c r="E868" s="21" t="s">
        <v>5739</v>
      </c>
      <c r="F868" s="21"/>
      <c r="G868" s="21"/>
    </row>
    <row r="869" ht="15.75" customHeight="1">
      <c r="A869" s="20" t="s">
        <v>5740</v>
      </c>
      <c r="B869" s="21" t="s">
        <v>616</v>
      </c>
      <c r="C869" s="21" t="s">
        <v>617</v>
      </c>
      <c r="D869" s="21" t="s">
        <v>33</v>
      </c>
      <c r="E869" s="21" t="s">
        <v>5741</v>
      </c>
      <c r="F869" s="21" t="s">
        <v>5742</v>
      </c>
      <c r="G869" s="21"/>
    </row>
    <row r="870" ht="15.75" customHeight="1">
      <c r="A870" s="20" t="s">
        <v>5743</v>
      </c>
      <c r="B870" s="21" t="s">
        <v>616</v>
      </c>
      <c r="C870" s="21" t="s">
        <v>617</v>
      </c>
      <c r="D870" s="21" t="s">
        <v>33</v>
      </c>
      <c r="E870" s="21" t="s">
        <v>5744</v>
      </c>
      <c r="F870" s="21" t="s">
        <v>5745</v>
      </c>
      <c r="G870" s="21"/>
    </row>
    <row r="871" ht="15.75" customHeight="1">
      <c r="A871" s="20" t="s">
        <v>5746</v>
      </c>
      <c r="B871" s="21" t="s">
        <v>616</v>
      </c>
      <c r="C871" s="21" t="s">
        <v>686</v>
      </c>
      <c r="D871" s="21" t="s">
        <v>33</v>
      </c>
      <c r="E871" s="21" t="s">
        <v>5747</v>
      </c>
      <c r="F871" s="21" t="s">
        <v>5748</v>
      </c>
      <c r="G871" s="21"/>
    </row>
    <row r="872" ht="15.75" customHeight="1">
      <c r="A872" s="20" t="s">
        <v>5749</v>
      </c>
      <c r="B872" s="21" t="s">
        <v>616</v>
      </c>
      <c r="C872" s="21" t="s">
        <v>617</v>
      </c>
      <c r="D872" s="21" t="s">
        <v>33</v>
      </c>
      <c r="E872" s="21" t="s">
        <v>5750</v>
      </c>
      <c r="F872" s="21" t="s">
        <v>5751</v>
      </c>
      <c r="G872" s="21"/>
    </row>
    <row r="873" ht="15.75" customHeight="1">
      <c r="A873" s="20" t="s">
        <v>5752</v>
      </c>
      <c r="B873" s="21" t="s">
        <v>616</v>
      </c>
      <c r="C873" s="21" t="s">
        <v>686</v>
      </c>
      <c r="D873" s="21" t="s">
        <v>33</v>
      </c>
      <c r="E873" s="21" t="s">
        <v>5753</v>
      </c>
      <c r="F873" s="21" t="s">
        <v>5754</v>
      </c>
      <c r="G873" s="21"/>
    </row>
    <row r="874" ht="15.75" customHeight="1">
      <c r="A874" s="20" t="s">
        <v>5755</v>
      </c>
      <c r="B874" s="21" t="s">
        <v>616</v>
      </c>
      <c r="C874" s="21" t="s">
        <v>617</v>
      </c>
      <c r="D874" s="21" t="s">
        <v>33</v>
      </c>
      <c r="E874" s="21" t="s">
        <v>5756</v>
      </c>
      <c r="F874" s="21"/>
      <c r="G874" s="21"/>
    </row>
    <row r="875" ht="15.75" customHeight="1">
      <c r="A875" s="20" t="s">
        <v>5757</v>
      </c>
      <c r="B875" s="21" t="s">
        <v>616</v>
      </c>
      <c r="C875" s="21" t="s">
        <v>686</v>
      </c>
      <c r="D875" s="21" t="s">
        <v>33</v>
      </c>
      <c r="E875" s="21" t="s">
        <v>5758</v>
      </c>
      <c r="F875" s="21" t="s">
        <v>5759</v>
      </c>
      <c r="G875" s="21"/>
    </row>
    <row r="876" ht="15.75" customHeight="1">
      <c r="A876" s="20" t="s">
        <v>5760</v>
      </c>
      <c r="B876" s="21" t="s">
        <v>616</v>
      </c>
      <c r="C876" s="21" t="s">
        <v>617</v>
      </c>
      <c r="D876" s="21" t="s">
        <v>33</v>
      </c>
      <c r="E876" s="21" t="s">
        <v>5761</v>
      </c>
      <c r="F876" s="21" t="s">
        <v>5762</v>
      </c>
      <c r="G876" s="21"/>
    </row>
    <row r="877" ht="15.75" customHeight="1">
      <c r="A877" s="20" t="s">
        <v>5763</v>
      </c>
      <c r="B877" s="21" t="s">
        <v>616</v>
      </c>
      <c r="C877" s="21" t="s">
        <v>617</v>
      </c>
      <c r="D877" s="21" t="s">
        <v>33</v>
      </c>
      <c r="E877" s="21" t="s">
        <v>5764</v>
      </c>
      <c r="F877" s="21" t="s">
        <v>5765</v>
      </c>
      <c r="G877" s="21"/>
    </row>
    <row r="878" ht="15.75" customHeight="1">
      <c r="A878" s="20" t="s">
        <v>5766</v>
      </c>
      <c r="B878" s="21" t="s">
        <v>616</v>
      </c>
      <c r="C878" s="21"/>
      <c r="D878" s="21" t="s">
        <v>33</v>
      </c>
      <c r="E878" s="21" t="s">
        <v>5767</v>
      </c>
      <c r="F878" s="21" t="s">
        <v>5768</v>
      </c>
      <c r="G878" s="21"/>
    </row>
    <row r="879" ht="15.75" customHeight="1">
      <c r="A879" s="20" t="s">
        <v>5769</v>
      </c>
      <c r="B879" s="21" t="s">
        <v>616</v>
      </c>
      <c r="C879" s="21" t="s">
        <v>617</v>
      </c>
      <c r="D879" s="21" t="s">
        <v>33</v>
      </c>
      <c r="E879" s="21" t="s">
        <v>5770</v>
      </c>
      <c r="F879" s="21"/>
      <c r="G879" s="21"/>
    </row>
    <row r="880" ht="15.75" customHeight="1">
      <c r="A880" s="20" t="s">
        <v>5771</v>
      </c>
      <c r="B880" s="21" t="s">
        <v>616</v>
      </c>
      <c r="C880" s="21" t="s">
        <v>686</v>
      </c>
      <c r="D880" s="21" t="s">
        <v>33</v>
      </c>
      <c r="E880" s="21" t="s">
        <v>5772</v>
      </c>
      <c r="F880" s="21" t="s">
        <v>5773</v>
      </c>
      <c r="G880" s="21"/>
    </row>
    <row r="881" ht="15.75" customHeight="1">
      <c r="A881" s="20" t="s">
        <v>5774</v>
      </c>
      <c r="B881" s="21" t="s">
        <v>616</v>
      </c>
      <c r="C881" s="21" t="s">
        <v>686</v>
      </c>
      <c r="D881" s="21" t="s">
        <v>33</v>
      </c>
      <c r="E881" s="21" t="s">
        <v>5775</v>
      </c>
      <c r="F881" s="21" t="s">
        <v>5776</v>
      </c>
      <c r="G881" s="21"/>
    </row>
    <row r="882" ht="15.75" customHeight="1">
      <c r="A882" s="20" t="s">
        <v>5777</v>
      </c>
      <c r="B882" s="21" t="s">
        <v>616</v>
      </c>
      <c r="C882" s="21" t="s">
        <v>686</v>
      </c>
      <c r="D882" s="21" t="s">
        <v>33</v>
      </c>
      <c r="E882" s="21" t="s">
        <v>5778</v>
      </c>
      <c r="F882" s="21" t="s">
        <v>5779</v>
      </c>
      <c r="G882" s="21"/>
    </row>
    <row r="883" ht="15.75" customHeight="1">
      <c r="A883" s="20" t="s">
        <v>5780</v>
      </c>
      <c r="B883" s="21" t="s">
        <v>616</v>
      </c>
      <c r="C883" s="21" t="s">
        <v>617</v>
      </c>
      <c r="D883" s="21" t="s">
        <v>33</v>
      </c>
      <c r="E883" s="21" t="s">
        <v>5781</v>
      </c>
      <c r="F883" s="21" t="s">
        <v>5782</v>
      </c>
      <c r="G883" s="21"/>
    </row>
    <row r="884" ht="15.75" customHeight="1">
      <c r="A884" s="20" t="s">
        <v>5783</v>
      </c>
      <c r="B884" s="21" t="s">
        <v>616</v>
      </c>
      <c r="C884" s="21" t="s">
        <v>686</v>
      </c>
      <c r="D884" s="21" t="s">
        <v>33</v>
      </c>
      <c r="E884" s="21" t="s">
        <v>5784</v>
      </c>
      <c r="F884" s="21" t="s">
        <v>5785</v>
      </c>
      <c r="G884" s="21"/>
    </row>
    <row r="885" ht="15.75" customHeight="1">
      <c r="A885" s="20" t="s">
        <v>5786</v>
      </c>
      <c r="B885" s="21" t="s">
        <v>616</v>
      </c>
      <c r="C885" s="21" t="s">
        <v>617</v>
      </c>
      <c r="D885" s="21" t="s">
        <v>33</v>
      </c>
      <c r="E885" s="21" t="s">
        <v>5787</v>
      </c>
      <c r="F885" s="21" t="s">
        <v>5788</v>
      </c>
      <c r="G885" s="21"/>
    </row>
    <row r="886" ht="15.75" customHeight="1">
      <c r="A886" s="20" t="s">
        <v>5789</v>
      </c>
      <c r="B886" s="21" t="s">
        <v>5790</v>
      </c>
      <c r="C886" s="21" t="s">
        <v>5791</v>
      </c>
      <c r="D886" s="21" t="s">
        <v>33</v>
      </c>
      <c r="E886" s="21" t="s">
        <v>5792</v>
      </c>
      <c r="F886" s="21" t="s">
        <v>5793</v>
      </c>
      <c r="G886" s="21"/>
    </row>
    <row r="887" ht="15.75" customHeight="1">
      <c r="A887" s="20" t="s">
        <v>5794</v>
      </c>
      <c r="B887" s="21" t="s">
        <v>2395</v>
      </c>
      <c r="C887" s="21" t="s">
        <v>1167</v>
      </c>
      <c r="D887" s="21" t="s">
        <v>33</v>
      </c>
      <c r="E887" s="21" t="s">
        <v>5795</v>
      </c>
      <c r="F887" s="21" t="s">
        <v>5796</v>
      </c>
      <c r="G887" s="21"/>
    </row>
    <row r="888" ht="15.75" customHeight="1">
      <c r="A888" s="20" t="s">
        <v>5797</v>
      </c>
      <c r="B888" s="21" t="s">
        <v>773</v>
      </c>
      <c r="C888" s="21" t="s">
        <v>775</v>
      </c>
      <c r="D888" s="21" t="s">
        <v>33</v>
      </c>
      <c r="E888" s="21" t="s">
        <v>5798</v>
      </c>
      <c r="F888" s="21" t="s">
        <v>5799</v>
      </c>
      <c r="G888" s="21"/>
    </row>
    <row r="889" ht="15.75" customHeight="1">
      <c r="A889" s="20" t="s">
        <v>5800</v>
      </c>
      <c r="B889" s="21" t="s">
        <v>773</v>
      </c>
      <c r="C889" s="21" t="s">
        <v>775</v>
      </c>
      <c r="D889" s="21" t="s">
        <v>33</v>
      </c>
      <c r="E889" s="21" t="s">
        <v>5801</v>
      </c>
      <c r="F889" s="21" t="s">
        <v>5802</v>
      </c>
      <c r="G889" s="21"/>
    </row>
    <row r="890" ht="15.75" customHeight="1">
      <c r="A890" s="20" t="s">
        <v>5803</v>
      </c>
      <c r="B890" s="21" t="s">
        <v>773</v>
      </c>
      <c r="C890" s="21" t="s">
        <v>775</v>
      </c>
      <c r="D890" s="21" t="s">
        <v>33</v>
      </c>
      <c r="E890" s="21" t="s">
        <v>5804</v>
      </c>
      <c r="F890" s="21" t="s">
        <v>5805</v>
      </c>
      <c r="G890" s="21"/>
    </row>
    <row r="891" ht="15.75" customHeight="1">
      <c r="A891" s="20" t="s">
        <v>5806</v>
      </c>
      <c r="B891" s="21" t="s">
        <v>773</v>
      </c>
      <c r="C891" s="21" t="s">
        <v>775</v>
      </c>
      <c r="D891" s="21" t="s">
        <v>33</v>
      </c>
      <c r="E891" s="21" t="s">
        <v>5807</v>
      </c>
      <c r="F891" s="21" t="s">
        <v>5808</v>
      </c>
      <c r="G891" s="21"/>
    </row>
    <row r="892" ht="15.75" customHeight="1">
      <c r="A892" s="20" t="s">
        <v>5809</v>
      </c>
      <c r="B892" s="21" t="s">
        <v>773</v>
      </c>
      <c r="C892" s="21" t="s">
        <v>775</v>
      </c>
      <c r="D892" s="21" t="s">
        <v>33</v>
      </c>
      <c r="E892" s="21" t="s">
        <v>5810</v>
      </c>
      <c r="F892" s="21" t="s">
        <v>5811</v>
      </c>
      <c r="G892" s="21"/>
    </row>
    <row r="893" ht="15.75" customHeight="1">
      <c r="A893" s="20" t="s">
        <v>5812</v>
      </c>
      <c r="B893" s="21" t="s">
        <v>773</v>
      </c>
      <c r="C893" s="21" t="s">
        <v>775</v>
      </c>
      <c r="D893" s="21" t="s">
        <v>33</v>
      </c>
      <c r="E893" s="21" t="s">
        <v>5813</v>
      </c>
      <c r="F893" s="21" t="s">
        <v>5814</v>
      </c>
      <c r="G893" s="21"/>
    </row>
    <row r="894" ht="15.75" customHeight="1">
      <c r="A894" s="20" t="s">
        <v>5815</v>
      </c>
      <c r="B894" s="21" t="s">
        <v>773</v>
      </c>
      <c r="C894" s="21" t="s">
        <v>775</v>
      </c>
      <c r="D894" s="21" t="s">
        <v>33</v>
      </c>
      <c r="E894" s="21" t="s">
        <v>5816</v>
      </c>
      <c r="F894" s="21" t="s">
        <v>5817</v>
      </c>
      <c r="G894" s="21"/>
    </row>
    <row r="895" ht="15.75" customHeight="1">
      <c r="A895" s="20" t="s">
        <v>5818</v>
      </c>
      <c r="B895" s="21" t="s">
        <v>787</v>
      </c>
      <c r="C895" s="21" t="s">
        <v>789</v>
      </c>
      <c r="D895" s="21" t="s">
        <v>33</v>
      </c>
      <c r="E895" s="21" t="s">
        <v>5819</v>
      </c>
      <c r="F895" s="21" t="s">
        <v>5820</v>
      </c>
      <c r="G895" s="21"/>
    </row>
    <row r="896" ht="15.75" customHeight="1">
      <c r="A896" s="20" t="s">
        <v>5821</v>
      </c>
      <c r="B896" s="21" t="s">
        <v>787</v>
      </c>
      <c r="C896" s="21" t="s">
        <v>789</v>
      </c>
      <c r="D896" s="21" t="s">
        <v>33</v>
      </c>
      <c r="E896" s="21" t="s">
        <v>5822</v>
      </c>
      <c r="F896" s="21" t="s">
        <v>5823</v>
      </c>
      <c r="G896" s="21"/>
    </row>
    <row r="897" ht="15.75" customHeight="1">
      <c r="A897" s="20" t="s">
        <v>5824</v>
      </c>
      <c r="B897" s="21" t="s">
        <v>787</v>
      </c>
      <c r="C897" s="21" t="s">
        <v>789</v>
      </c>
      <c r="D897" s="21" t="s">
        <v>33</v>
      </c>
      <c r="E897" s="21" t="s">
        <v>5825</v>
      </c>
      <c r="F897" s="21" t="s">
        <v>5826</v>
      </c>
      <c r="G897" s="21"/>
    </row>
    <row r="898" ht="15.75" customHeight="1">
      <c r="A898" s="20" t="s">
        <v>5827</v>
      </c>
      <c r="B898" s="21" t="s">
        <v>787</v>
      </c>
      <c r="C898" s="21" t="s">
        <v>789</v>
      </c>
      <c r="D898" s="21" t="s">
        <v>33</v>
      </c>
      <c r="E898" s="21" t="s">
        <v>5828</v>
      </c>
      <c r="F898" s="21" t="s">
        <v>5829</v>
      </c>
      <c r="G898" s="21"/>
    </row>
    <row r="899" ht="15.75" customHeight="1">
      <c r="A899" s="20" t="s">
        <v>5830</v>
      </c>
      <c r="B899" s="21" t="s">
        <v>787</v>
      </c>
      <c r="C899" s="21" t="s">
        <v>789</v>
      </c>
      <c r="D899" s="21" t="s">
        <v>33</v>
      </c>
      <c r="E899" s="21" t="s">
        <v>5831</v>
      </c>
      <c r="F899" s="21" t="s">
        <v>5832</v>
      </c>
      <c r="G899" s="21"/>
    </row>
    <row r="900" ht="15.75" customHeight="1">
      <c r="A900" s="20" t="s">
        <v>5833</v>
      </c>
      <c r="B900" s="21" t="s">
        <v>5834</v>
      </c>
      <c r="C900" s="21" t="s">
        <v>802</v>
      </c>
      <c r="D900" s="21" t="s">
        <v>33</v>
      </c>
      <c r="E900" s="21" t="s">
        <v>5835</v>
      </c>
      <c r="F900" s="21" t="s">
        <v>5836</v>
      </c>
      <c r="G900" s="21"/>
    </row>
    <row r="901" ht="15.75" customHeight="1">
      <c r="A901" s="20" t="s">
        <v>5837</v>
      </c>
      <c r="B901" s="21" t="s">
        <v>800</v>
      </c>
      <c r="C901" s="21" t="s">
        <v>802</v>
      </c>
      <c r="D901" s="21" t="s">
        <v>33</v>
      </c>
      <c r="E901" s="21" t="s">
        <v>5838</v>
      </c>
      <c r="F901" s="21" t="s">
        <v>5839</v>
      </c>
      <c r="G901" s="21"/>
    </row>
    <row r="902" ht="15.75" customHeight="1">
      <c r="A902" s="20" t="s">
        <v>5840</v>
      </c>
      <c r="B902" s="21" t="s">
        <v>800</v>
      </c>
      <c r="C902" s="21" t="s">
        <v>802</v>
      </c>
      <c r="D902" s="21" t="s">
        <v>33</v>
      </c>
      <c r="E902" s="21" t="s">
        <v>5841</v>
      </c>
      <c r="F902" s="21" t="s">
        <v>5842</v>
      </c>
      <c r="G902" s="21"/>
    </row>
    <row r="903" ht="15.75" customHeight="1">
      <c r="A903" s="20" t="s">
        <v>5843</v>
      </c>
      <c r="B903" s="21" t="s">
        <v>810</v>
      </c>
      <c r="C903" s="21" t="s">
        <v>811</v>
      </c>
      <c r="D903" s="21" t="s">
        <v>33</v>
      </c>
      <c r="E903" s="21" t="s">
        <v>5844</v>
      </c>
      <c r="F903" s="21" t="s">
        <v>5845</v>
      </c>
      <c r="G903" s="21"/>
    </row>
    <row r="904" ht="15.75" customHeight="1">
      <c r="A904" s="20" t="s">
        <v>5846</v>
      </c>
      <c r="B904" s="21" t="s">
        <v>810</v>
      </c>
      <c r="C904" s="21" t="s">
        <v>811</v>
      </c>
      <c r="D904" s="21" t="s">
        <v>33</v>
      </c>
      <c r="E904" s="21" t="s">
        <v>5847</v>
      </c>
      <c r="F904" s="21" t="s">
        <v>5848</v>
      </c>
      <c r="G904" s="21"/>
    </row>
    <row r="905" ht="15.75" customHeight="1">
      <c r="A905" s="20" t="s">
        <v>5849</v>
      </c>
      <c r="B905" s="21" t="s">
        <v>810</v>
      </c>
      <c r="C905" s="21" t="s">
        <v>811</v>
      </c>
      <c r="D905" s="21" t="s">
        <v>33</v>
      </c>
      <c r="E905" s="21" t="s">
        <v>5850</v>
      </c>
      <c r="F905" s="21" t="s">
        <v>5851</v>
      </c>
      <c r="G905" s="21"/>
    </row>
    <row r="906" ht="15.75" customHeight="1">
      <c r="A906" s="20" t="s">
        <v>5852</v>
      </c>
      <c r="B906" s="21" t="s">
        <v>810</v>
      </c>
      <c r="C906" s="21" t="s">
        <v>811</v>
      </c>
      <c r="D906" s="21" t="s">
        <v>33</v>
      </c>
      <c r="E906" s="21" t="s">
        <v>5853</v>
      </c>
      <c r="F906" s="21" t="s">
        <v>5854</v>
      </c>
      <c r="G906" s="21"/>
    </row>
    <row r="907" ht="15.75" customHeight="1">
      <c r="A907" s="20" t="s">
        <v>5855</v>
      </c>
      <c r="B907" s="21" t="s">
        <v>810</v>
      </c>
      <c r="C907" s="21" t="s">
        <v>811</v>
      </c>
      <c r="D907" s="21" t="s">
        <v>33</v>
      </c>
      <c r="E907" s="21" t="s">
        <v>5856</v>
      </c>
      <c r="F907" s="21" t="s">
        <v>5857</v>
      </c>
      <c r="G907" s="21"/>
    </row>
    <row r="908" ht="15.75" customHeight="1">
      <c r="A908" s="20" t="s">
        <v>5858</v>
      </c>
      <c r="B908" s="21" t="s">
        <v>810</v>
      </c>
      <c r="C908" s="21" t="s">
        <v>811</v>
      </c>
      <c r="D908" s="21" t="s">
        <v>33</v>
      </c>
      <c r="E908" s="21" t="s">
        <v>5859</v>
      </c>
      <c r="F908" s="21" t="s">
        <v>5860</v>
      </c>
      <c r="G908" s="21"/>
    </row>
    <row r="909" ht="15.75" customHeight="1">
      <c r="A909" s="20" t="s">
        <v>5861</v>
      </c>
      <c r="B909" s="21" t="s">
        <v>810</v>
      </c>
      <c r="C909" s="21" t="s">
        <v>811</v>
      </c>
      <c r="D909" s="21" t="s">
        <v>33</v>
      </c>
      <c r="E909" s="21" t="s">
        <v>5862</v>
      </c>
      <c r="F909" s="21" t="s">
        <v>5863</v>
      </c>
      <c r="G909" s="21"/>
    </row>
    <row r="910" ht="15.75" customHeight="1">
      <c r="A910" s="20" t="s">
        <v>5864</v>
      </c>
      <c r="B910" s="21" t="s">
        <v>810</v>
      </c>
      <c r="C910" s="21" t="s">
        <v>811</v>
      </c>
      <c r="D910" s="21" t="s">
        <v>33</v>
      </c>
      <c r="E910" s="21" t="s">
        <v>5865</v>
      </c>
      <c r="F910" s="21" t="s">
        <v>5866</v>
      </c>
      <c r="G910" s="21"/>
    </row>
    <row r="911" ht="15.75" customHeight="1">
      <c r="A911" s="20" t="s">
        <v>5867</v>
      </c>
      <c r="B911" s="21" t="s">
        <v>810</v>
      </c>
      <c r="C911" s="21" t="s">
        <v>811</v>
      </c>
      <c r="D911" s="21" t="s">
        <v>33</v>
      </c>
      <c r="E911" s="21" t="s">
        <v>5868</v>
      </c>
      <c r="F911" s="21" t="s">
        <v>5869</v>
      </c>
      <c r="G911" s="21"/>
    </row>
    <row r="912" ht="15.75" customHeight="1">
      <c r="A912" s="20" t="s">
        <v>5870</v>
      </c>
      <c r="B912" s="21" t="s">
        <v>810</v>
      </c>
      <c r="C912" s="21" t="s">
        <v>811</v>
      </c>
      <c r="D912" s="21" t="s">
        <v>33</v>
      </c>
      <c r="E912" s="21" t="s">
        <v>5871</v>
      </c>
      <c r="F912" s="21" t="s">
        <v>5872</v>
      </c>
      <c r="G912" s="21"/>
    </row>
    <row r="913" ht="15.75" customHeight="1">
      <c r="A913" s="20" t="s">
        <v>5873</v>
      </c>
      <c r="B913" s="21" t="s">
        <v>810</v>
      </c>
      <c r="C913" s="21" t="s">
        <v>811</v>
      </c>
      <c r="D913" s="21" t="s">
        <v>33</v>
      </c>
      <c r="E913" s="21" t="s">
        <v>5874</v>
      </c>
      <c r="F913" s="21" t="s">
        <v>5875</v>
      </c>
      <c r="G913" s="21"/>
    </row>
    <row r="914" ht="15.75" customHeight="1">
      <c r="A914" s="20" t="s">
        <v>5876</v>
      </c>
      <c r="B914" s="21" t="s">
        <v>5877</v>
      </c>
      <c r="C914" s="21" t="s">
        <v>5878</v>
      </c>
      <c r="D914" s="21" t="s">
        <v>33</v>
      </c>
      <c r="E914" s="21" t="s">
        <v>5879</v>
      </c>
      <c r="F914" s="21" t="s">
        <v>5880</v>
      </c>
      <c r="G914" s="21"/>
    </row>
    <row r="915" ht="15.75" customHeight="1">
      <c r="A915" s="20" t="s">
        <v>5881</v>
      </c>
      <c r="B915" s="21" t="s">
        <v>5882</v>
      </c>
      <c r="C915" s="21" t="s">
        <v>5883</v>
      </c>
      <c r="D915" s="21" t="s">
        <v>33</v>
      </c>
      <c r="E915" s="21" t="s">
        <v>5884</v>
      </c>
      <c r="F915" s="21" t="s">
        <v>5885</v>
      </c>
      <c r="G915" s="21"/>
    </row>
    <row r="916" ht="15.75" customHeight="1">
      <c r="A916" s="20" t="s">
        <v>5886</v>
      </c>
      <c r="B916" s="21" t="s">
        <v>5887</v>
      </c>
      <c r="C916" s="21" t="s">
        <v>5888</v>
      </c>
      <c r="D916" s="21" t="s">
        <v>33</v>
      </c>
      <c r="E916" s="21" t="s">
        <v>5889</v>
      </c>
      <c r="F916" s="21" t="s">
        <v>5890</v>
      </c>
      <c r="G916" s="21"/>
    </row>
    <row r="917" ht="15.75" customHeight="1">
      <c r="A917" s="20" t="s">
        <v>5891</v>
      </c>
      <c r="B917" s="21" t="s">
        <v>845</v>
      </c>
      <c r="C917" s="21" t="s">
        <v>1233</v>
      </c>
      <c r="D917" s="21" t="s">
        <v>33</v>
      </c>
      <c r="E917" s="21" t="s">
        <v>5892</v>
      </c>
      <c r="F917" s="21" t="s">
        <v>5893</v>
      </c>
      <c r="G917" s="21"/>
    </row>
    <row r="918" ht="15.75" customHeight="1">
      <c r="A918" s="20" t="s">
        <v>5894</v>
      </c>
      <c r="B918" s="21" t="s">
        <v>5895</v>
      </c>
      <c r="C918" s="21" t="s">
        <v>858</v>
      </c>
      <c r="D918" s="21" t="s">
        <v>33</v>
      </c>
      <c r="E918" s="21" t="s">
        <v>5896</v>
      </c>
      <c r="F918" s="21" t="s">
        <v>5897</v>
      </c>
      <c r="G918" s="21"/>
    </row>
    <row r="919" ht="15.75" customHeight="1">
      <c r="A919" s="20" t="s">
        <v>5898</v>
      </c>
      <c r="B919" s="21" t="s">
        <v>2385</v>
      </c>
      <c r="C919" s="21" t="s">
        <v>5899</v>
      </c>
      <c r="D919" s="21" t="s">
        <v>33</v>
      </c>
      <c r="E919" s="21" t="s">
        <v>5900</v>
      </c>
      <c r="F919" s="21" t="s">
        <v>5901</v>
      </c>
      <c r="G919" s="21"/>
    </row>
    <row r="920" ht="15.75" customHeight="1">
      <c r="A920" s="20" t="s">
        <v>5902</v>
      </c>
      <c r="B920" s="21" t="s">
        <v>2385</v>
      </c>
      <c r="C920" s="21" t="s">
        <v>5899</v>
      </c>
      <c r="D920" s="21" t="s">
        <v>33</v>
      </c>
      <c r="E920" s="21" t="s">
        <v>5903</v>
      </c>
      <c r="F920" s="21" t="s">
        <v>5904</v>
      </c>
      <c r="G920" s="21"/>
    </row>
    <row r="921" ht="15.75" customHeight="1">
      <c r="A921" s="20" t="s">
        <v>5905</v>
      </c>
      <c r="B921" s="21" t="s">
        <v>2385</v>
      </c>
      <c r="C921" s="21" t="s">
        <v>5899</v>
      </c>
      <c r="D921" s="21" t="s">
        <v>33</v>
      </c>
      <c r="E921" s="21" t="s">
        <v>5906</v>
      </c>
      <c r="F921" s="21" t="s">
        <v>5907</v>
      </c>
      <c r="G921" s="21"/>
    </row>
    <row r="922" ht="15.75" customHeight="1">
      <c r="A922" s="20" t="s">
        <v>5908</v>
      </c>
      <c r="B922" s="21" t="s">
        <v>2385</v>
      </c>
      <c r="C922" s="21" t="s">
        <v>5899</v>
      </c>
      <c r="D922" s="21" t="s">
        <v>33</v>
      </c>
      <c r="E922" s="21" t="s">
        <v>5909</v>
      </c>
      <c r="F922" s="21" t="s">
        <v>5910</v>
      </c>
      <c r="G922" s="21"/>
    </row>
    <row r="923" ht="15.75" customHeight="1">
      <c r="A923" s="20" t="s">
        <v>5911</v>
      </c>
      <c r="B923" s="21" t="s">
        <v>3581</v>
      </c>
      <c r="C923" s="21" t="s">
        <v>1281</v>
      </c>
      <c r="D923" s="21" t="s">
        <v>33</v>
      </c>
      <c r="E923" s="21" t="s">
        <v>5912</v>
      </c>
      <c r="F923" s="21" t="s">
        <v>5913</v>
      </c>
      <c r="G923" s="21"/>
    </row>
    <row r="924" ht="15.75" customHeight="1">
      <c r="A924" s="20" t="s">
        <v>5914</v>
      </c>
      <c r="B924" s="21" t="s">
        <v>856</v>
      </c>
      <c r="C924" s="21" t="s">
        <v>858</v>
      </c>
      <c r="D924" s="21" t="s">
        <v>33</v>
      </c>
      <c r="E924" s="21" t="s">
        <v>5915</v>
      </c>
      <c r="F924" s="21" t="s">
        <v>5916</v>
      </c>
      <c r="G924" s="21"/>
    </row>
    <row r="925" ht="15.75" customHeight="1">
      <c r="A925" s="20" t="s">
        <v>5673</v>
      </c>
      <c r="B925" s="21" t="s">
        <v>856</v>
      </c>
      <c r="C925" s="21" t="s">
        <v>858</v>
      </c>
      <c r="D925" s="21" t="s">
        <v>33</v>
      </c>
      <c r="E925" s="21" t="s">
        <v>5917</v>
      </c>
      <c r="F925" s="21" t="s">
        <v>5918</v>
      </c>
      <c r="G925" s="21"/>
    </row>
    <row r="926" ht="15.75" customHeight="1">
      <c r="A926" s="20" t="s">
        <v>5919</v>
      </c>
      <c r="B926" s="21" t="s">
        <v>856</v>
      </c>
      <c r="C926" s="21" t="s">
        <v>858</v>
      </c>
      <c r="D926" s="21" t="s">
        <v>33</v>
      </c>
      <c r="E926" s="21" t="s">
        <v>5920</v>
      </c>
      <c r="F926" s="21" t="s">
        <v>5921</v>
      </c>
      <c r="G926" s="21"/>
    </row>
    <row r="927" ht="15.75" customHeight="1">
      <c r="A927" s="20" t="s">
        <v>5922</v>
      </c>
      <c r="B927" s="21" t="s">
        <v>856</v>
      </c>
      <c r="C927" s="21" t="s">
        <v>858</v>
      </c>
      <c r="D927" s="21" t="s">
        <v>33</v>
      </c>
      <c r="E927" s="21" t="s">
        <v>5923</v>
      </c>
      <c r="F927" s="21" t="s">
        <v>5924</v>
      </c>
      <c r="G927" s="21"/>
    </row>
    <row r="928" ht="15.75" customHeight="1">
      <c r="A928" s="20" t="s">
        <v>5925</v>
      </c>
      <c r="B928" s="21" t="s">
        <v>856</v>
      </c>
      <c r="C928" s="21" t="s">
        <v>858</v>
      </c>
      <c r="D928" s="21" t="s">
        <v>33</v>
      </c>
      <c r="E928" s="21" t="s">
        <v>5926</v>
      </c>
      <c r="F928" s="21" t="s">
        <v>5927</v>
      </c>
      <c r="G928" s="21"/>
    </row>
    <row r="929" ht="15.75" customHeight="1">
      <c r="A929" s="20" t="s">
        <v>5928</v>
      </c>
      <c r="B929" s="21" t="s">
        <v>5929</v>
      </c>
      <c r="C929" s="21" t="s">
        <v>5888</v>
      </c>
      <c r="D929" s="21" t="s">
        <v>33</v>
      </c>
      <c r="E929" s="21" t="s">
        <v>5930</v>
      </c>
      <c r="F929" s="21" t="s">
        <v>5931</v>
      </c>
      <c r="G929" s="21"/>
    </row>
    <row r="930" ht="15.75" customHeight="1">
      <c r="A930" s="20" t="s">
        <v>5932</v>
      </c>
      <c r="B930" s="21" t="s">
        <v>5933</v>
      </c>
      <c r="C930" s="21" t="s">
        <v>5791</v>
      </c>
      <c r="D930" s="21" t="s">
        <v>33</v>
      </c>
      <c r="E930" s="21" t="s">
        <v>5934</v>
      </c>
      <c r="F930" s="21" t="s">
        <v>5935</v>
      </c>
      <c r="G930" s="21"/>
    </row>
    <row r="931" ht="15.75" customHeight="1">
      <c r="A931" s="20" t="s">
        <v>5936</v>
      </c>
      <c r="B931" s="21" t="s">
        <v>5933</v>
      </c>
      <c r="C931" s="21" t="s">
        <v>5791</v>
      </c>
      <c r="D931" s="21" t="s">
        <v>33</v>
      </c>
      <c r="E931" s="21" t="s">
        <v>5937</v>
      </c>
      <c r="F931" s="21" t="s">
        <v>5938</v>
      </c>
      <c r="G931" s="21"/>
    </row>
    <row r="932" ht="15.75" customHeight="1">
      <c r="A932" s="20" t="s">
        <v>5939</v>
      </c>
      <c r="B932" s="21" t="s">
        <v>5940</v>
      </c>
      <c r="C932" s="21" t="s">
        <v>1050</v>
      </c>
      <c r="D932" s="21" t="s">
        <v>33</v>
      </c>
      <c r="E932" s="21" t="s">
        <v>5941</v>
      </c>
      <c r="F932" s="21"/>
      <c r="G932" s="21"/>
    </row>
    <row r="933" ht="15.75" customHeight="1">
      <c r="A933" s="20" t="s">
        <v>5942</v>
      </c>
      <c r="B933" s="21" t="s">
        <v>5943</v>
      </c>
      <c r="C933" s="21" t="s">
        <v>5791</v>
      </c>
      <c r="D933" s="21" t="s">
        <v>33</v>
      </c>
      <c r="E933" s="21" t="s">
        <v>5944</v>
      </c>
      <c r="F933" s="21" t="s">
        <v>5945</v>
      </c>
      <c r="G933" s="21"/>
    </row>
    <row r="934" ht="15.75" customHeight="1">
      <c r="A934" s="20" t="s">
        <v>5946</v>
      </c>
      <c r="B934" s="21" t="s">
        <v>5947</v>
      </c>
      <c r="C934" s="21" t="s">
        <v>1183</v>
      </c>
      <c r="D934" s="21" t="s">
        <v>33</v>
      </c>
      <c r="E934" s="21" t="s">
        <v>5948</v>
      </c>
      <c r="F934" s="21" t="s">
        <v>5949</v>
      </c>
      <c r="G934" s="21"/>
    </row>
    <row r="935" ht="15.75" customHeight="1">
      <c r="A935" s="20" t="s">
        <v>5950</v>
      </c>
      <c r="B935" s="21" t="s">
        <v>5947</v>
      </c>
      <c r="C935" s="21" t="s">
        <v>1183</v>
      </c>
      <c r="D935" s="21" t="s">
        <v>33</v>
      </c>
      <c r="E935" s="21" t="s">
        <v>5951</v>
      </c>
      <c r="F935" s="21"/>
      <c r="G935" s="21"/>
    </row>
    <row r="936" ht="15.75" customHeight="1">
      <c r="A936" s="20" t="s">
        <v>5952</v>
      </c>
      <c r="B936" s="21" t="s">
        <v>5947</v>
      </c>
      <c r="C936" s="21" t="s">
        <v>1183</v>
      </c>
      <c r="D936" s="21" t="s">
        <v>33</v>
      </c>
      <c r="E936" s="21" t="s">
        <v>5953</v>
      </c>
      <c r="F936" s="21" t="s">
        <v>5954</v>
      </c>
      <c r="G936" s="21"/>
    </row>
    <row r="937" ht="15.75" customHeight="1">
      <c r="A937" s="20" t="s">
        <v>5955</v>
      </c>
      <c r="B937" s="21" t="s">
        <v>5947</v>
      </c>
      <c r="C937" s="21" t="s">
        <v>1183</v>
      </c>
      <c r="D937" s="21" t="s">
        <v>33</v>
      </c>
      <c r="E937" s="21" t="s">
        <v>5956</v>
      </c>
      <c r="F937" s="21" t="s">
        <v>5957</v>
      </c>
      <c r="G937" s="21"/>
    </row>
    <row r="938" ht="15.75" customHeight="1">
      <c r="A938" s="20" t="s">
        <v>5958</v>
      </c>
      <c r="B938" s="21" t="s">
        <v>5959</v>
      </c>
      <c r="C938" s="21" t="s">
        <v>1258</v>
      </c>
      <c r="D938" s="21" t="s">
        <v>33</v>
      </c>
      <c r="E938" s="21" t="s">
        <v>5960</v>
      </c>
      <c r="F938" s="21"/>
      <c r="G938" s="21"/>
    </row>
    <row r="939" ht="15.75" customHeight="1">
      <c r="A939" s="20" t="s">
        <v>5961</v>
      </c>
      <c r="B939" s="21" t="s">
        <v>5962</v>
      </c>
      <c r="C939" s="21" t="s">
        <v>5963</v>
      </c>
      <c r="D939" s="21" t="s">
        <v>33</v>
      </c>
      <c r="E939" s="21" t="s">
        <v>5964</v>
      </c>
      <c r="F939" s="21" t="s">
        <v>5965</v>
      </c>
      <c r="G939" s="21"/>
    </row>
    <row r="940" ht="15.75" customHeight="1">
      <c r="A940" s="20" t="s">
        <v>5966</v>
      </c>
      <c r="B940" s="21" t="s">
        <v>5967</v>
      </c>
      <c r="C940" s="21" t="s">
        <v>5968</v>
      </c>
      <c r="D940" s="21" t="s">
        <v>33</v>
      </c>
      <c r="E940" s="21" t="s">
        <v>5969</v>
      </c>
      <c r="F940" s="21" t="s">
        <v>5970</v>
      </c>
      <c r="G940" s="21"/>
    </row>
    <row r="941" ht="15.75" customHeight="1">
      <c r="A941" s="20" t="s">
        <v>5971</v>
      </c>
      <c r="B941" s="21" t="s">
        <v>1299</v>
      </c>
      <c r="C941" s="21" t="s">
        <v>1281</v>
      </c>
      <c r="D941" s="21" t="s">
        <v>33</v>
      </c>
      <c r="E941" s="21" t="s">
        <v>5972</v>
      </c>
      <c r="F941" s="21"/>
      <c r="G941" s="21"/>
    </row>
    <row r="942" ht="15.75" customHeight="1">
      <c r="A942" s="20" t="s">
        <v>5973</v>
      </c>
      <c r="B942" s="21" t="s">
        <v>1299</v>
      </c>
      <c r="C942" s="21" t="s">
        <v>1281</v>
      </c>
      <c r="D942" s="21" t="s">
        <v>33</v>
      </c>
      <c r="E942" s="21" t="s">
        <v>1301</v>
      </c>
      <c r="F942" s="21" t="s">
        <v>1303</v>
      </c>
      <c r="G942" s="21"/>
    </row>
    <row r="943" ht="15.75" customHeight="1">
      <c r="A943" s="20" t="s">
        <v>5974</v>
      </c>
      <c r="B943" s="21" t="s">
        <v>5975</v>
      </c>
      <c r="C943" s="21" t="s">
        <v>5976</v>
      </c>
      <c r="D943" s="21" t="s">
        <v>33</v>
      </c>
      <c r="E943" s="21" t="s">
        <v>5977</v>
      </c>
      <c r="F943" s="21" t="s">
        <v>5978</v>
      </c>
      <c r="G943" s="21"/>
    </row>
    <row r="944" ht="15.75" customHeight="1">
      <c r="A944" s="20" t="s">
        <v>5979</v>
      </c>
      <c r="B944" s="21" t="s">
        <v>5975</v>
      </c>
      <c r="C944" s="21" t="s">
        <v>5976</v>
      </c>
      <c r="D944" s="21" t="s">
        <v>33</v>
      </c>
      <c r="E944" s="21" t="s">
        <v>5980</v>
      </c>
      <c r="F944" s="21" t="s">
        <v>5981</v>
      </c>
      <c r="G944" s="21"/>
    </row>
    <row r="945" ht="15.75" customHeight="1">
      <c r="A945" s="20" t="s">
        <v>5982</v>
      </c>
      <c r="B945" s="21" t="s">
        <v>5975</v>
      </c>
      <c r="C945" s="21" t="s">
        <v>5976</v>
      </c>
      <c r="D945" s="21" t="s">
        <v>33</v>
      </c>
      <c r="E945" s="21" t="s">
        <v>5983</v>
      </c>
      <c r="F945" s="21" t="s">
        <v>5984</v>
      </c>
      <c r="G945" s="21"/>
    </row>
    <row r="946" ht="15.75" customHeight="1">
      <c r="A946" s="20" t="s">
        <v>5985</v>
      </c>
      <c r="B946" s="21" t="s">
        <v>5975</v>
      </c>
      <c r="C946" s="21" t="s">
        <v>5976</v>
      </c>
      <c r="D946" s="21" t="s">
        <v>33</v>
      </c>
      <c r="E946" s="21" t="s">
        <v>5986</v>
      </c>
      <c r="F946" s="21"/>
      <c r="G946" s="21"/>
    </row>
    <row r="947" ht="15.75" customHeight="1">
      <c r="A947" s="20" t="s">
        <v>5987</v>
      </c>
      <c r="B947" s="21" t="s">
        <v>5975</v>
      </c>
      <c r="C947" s="21" t="s">
        <v>5976</v>
      </c>
      <c r="D947" s="21" t="s">
        <v>33</v>
      </c>
      <c r="E947" s="21" t="s">
        <v>5988</v>
      </c>
      <c r="F947" s="21" t="s">
        <v>5989</v>
      </c>
      <c r="G947" s="21"/>
    </row>
    <row r="948" ht="15.75" customHeight="1">
      <c r="A948" s="20" t="s">
        <v>5990</v>
      </c>
      <c r="B948" s="21" t="s">
        <v>5975</v>
      </c>
      <c r="C948" s="21" t="s">
        <v>5976</v>
      </c>
      <c r="D948" s="21" t="s">
        <v>33</v>
      </c>
      <c r="E948" s="21" t="s">
        <v>5991</v>
      </c>
      <c r="F948" s="21" t="s">
        <v>5992</v>
      </c>
      <c r="G948" s="21"/>
    </row>
    <row r="949" ht="15.75" customHeight="1">
      <c r="A949" s="20" t="s">
        <v>5993</v>
      </c>
      <c r="B949" s="21" t="s">
        <v>5975</v>
      </c>
      <c r="C949" s="21" t="s">
        <v>5976</v>
      </c>
      <c r="D949" s="21" t="s">
        <v>33</v>
      </c>
      <c r="E949" s="21" t="s">
        <v>5994</v>
      </c>
      <c r="F949" s="21" t="s">
        <v>5995</v>
      </c>
      <c r="G949" s="21"/>
    </row>
    <row r="950" ht="15.75" customHeight="1">
      <c r="A950" s="20" t="s">
        <v>5996</v>
      </c>
      <c r="B950" s="21" t="s">
        <v>5975</v>
      </c>
      <c r="C950" s="21" t="s">
        <v>5976</v>
      </c>
      <c r="D950" s="21" t="s">
        <v>33</v>
      </c>
      <c r="E950" s="21" t="s">
        <v>5997</v>
      </c>
      <c r="F950" s="21" t="s">
        <v>5998</v>
      </c>
      <c r="G950" s="21"/>
    </row>
    <row r="951" ht="15.75" customHeight="1">
      <c r="A951" s="20" t="s">
        <v>5999</v>
      </c>
      <c r="B951" s="21" t="s">
        <v>5975</v>
      </c>
      <c r="C951" s="21" t="s">
        <v>5976</v>
      </c>
      <c r="D951" s="21" t="s">
        <v>33</v>
      </c>
      <c r="E951" s="21" t="s">
        <v>6000</v>
      </c>
      <c r="F951" s="21" t="s">
        <v>6001</v>
      </c>
      <c r="G951" s="21"/>
    </row>
    <row r="952" ht="15.75" customHeight="1">
      <c r="A952" s="20" t="s">
        <v>6002</v>
      </c>
      <c r="B952" s="21" t="s">
        <v>5975</v>
      </c>
      <c r="C952" s="21" t="s">
        <v>6003</v>
      </c>
      <c r="D952" s="21" t="s">
        <v>33</v>
      </c>
      <c r="E952" s="21" t="s">
        <v>6004</v>
      </c>
      <c r="F952" s="21"/>
      <c r="G952" s="21"/>
    </row>
    <row r="953" ht="15.75" customHeight="1">
      <c r="A953" s="20" t="s">
        <v>6005</v>
      </c>
      <c r="B953" s="21" t="s">
        <v>5975</v>
      </c>
      <c r="C953" s="21" t="s">
        <v>5976</v>
      </c>
      <c r="D953" s="21" t="s">
        <v>33</v>
      </c>
      <c r="E953" s="21" t="s">
        <v>6006</v>
      </c>
      <c r="F953" s="21" t="s">
        <v>6007</v>
      </c>
      <c r="G953" s="21"/>
    </row>
    <row r="954" ht="15.75" customHeight="1">
      <c r="A954" s="20" t="s">
        <v>6008</v>
      </c>
      <c r="B954" s="21" t="s">
        <v>5975</v>
      </c>
      <c r="C954" s="21" t="s">
        <v>6003</v>
      </c>
      <c r="D954" s="21" t="s">
        <v>33</v>
      </c>
      <c r="E954" s="21" t="s">
        <v>6009</v>
      </c>
      <c r="F954" s="21" t="s">
        <v>6010</v>
      </c>
      <c r="G954" s="21"/>
    </row>
    <row r="955" ht="15.75" customHeight="1">
      <c r="A955" s="20" t="s">
        <v>6011</v>
      </c>
      <c r="B955" s="21" t="s">
        <v>872</v>
      </c>
      <c r="C955" s="21" t="s">
        <v>873</v>
      </c>
      <c r="D955" s="21" t="s">
        <v>33</v>
      </c>
      <c r="E955" s="21" t="s">
        <v>6012</v>
      </c>
      <c r="F955" s="21" t="s">
        <v>6013</v>
      </c>
      <c r="G955" s="21"/>
    </row>
    <row r="956" ht="15.75" customHeight="1">
      <c r="A956" s="20" t="s">
        <v>6014</v>
      </c>
      <c r="B956" s="21" t="s">
        <v>872</v>
      </c>
      <c r="C956" s="21" t="s">
        <v>873</v>
      </c>
      <c r="D956" s="21" t="s">
        <v>33</v>
      </c>
      <c r="E956" s="21" t="s">
        <v>6015</v>
      </c>
      <c r="F956" s="21" t="s">
        <v>6016</v>
      </c>
      <c r="G956" s="21"/>
    </row>
    <row r="957" ht="15.75" customHeight="1">
      <c r="A957" s="20" t="s">
        <v>6017</v>
      </c>
      <c r="B957" s="21" t="s">
        <v>872</v>
      </c>
      <c r="C957" s="21" t="s">
        <v>873</v>
      </c>
      <c r="D957" s="21" t="s">
        <v>33</v>
      </c>
      <c r="E957" s="21" t="s">
        <v>6018</v>
      </c>
      <c r="F957" s="21" t="s">
        <v>6019</v>
      </c>
      <c r="G957" s="21"/>
    </row>
    <row r="958" ht="15.75" customHeight="1">
      <c r="A958" s="20" t="s">
        <v>6020</v>
      </c>
      <c r="B958" s="21" t="s">
        <v>872</v>
      </c>
      <c r="C958" s="21" t="s">
        <v>873</v>
      </c>
      <c r="D958" s="21" t="s">
        <v>33</v>
      </c>
      <c r="E958" s="21" t="s">
        <v>6021</v>
      </c>
      <c r="F958" s="21"/>
      <c r="G958" s="21"/>
    </row>
    <row r="959" ht="15.75" customHeight="1">
      <c r="A959" s="20" t="s">
        <v>6022</v>
      </c>
      <c r="B959" s="21" t="s">
        <v>872</v>
      </c>
      <c r="C959" s="21" t="s">
        <v>873</v>
      </c>
      <c r="D959" s="21" t="s">
        <v>33</v>
      </c>
      <c r="E959" s="21" t="s">
        <v>6023</v>
      </c>
      <c r="F959" s="21"/>
      <c r="G959" s="21"/>
    </row>
    <row r="960" ht="15.75" customHeight="1">
      <c r="A960" s="20" t="s">
        <v>6024</v>
      </c>
      <c r="B960" s="21" t="s">
        <v>872</v>
      </c>
      <c r="C960" s="21" t="s">
        <v>873</v>
      </c>
      <c r="D960" s="21" t="s">
        <v>33</v>
      </c>
      <c r="E960" s="21" t="s">
        <v>6025</v>
      </c>
      <c r="F960" s="21" t="s">
        <v>6026</v>
      </c>
      <c r="G960" s="21"/>
    </row>
    <row r="961" ht="15.75" customHeight="1">
      <c r="A961" s="20" t="s">
        <v>6027</v>
      </c>
      <c r="B961" s="21" t="s">
        <v>872</v>
      </c>
      <c r="C961" s="21" t="s">
        <v>873</v>
      </c>
      <c r="D961" s="21" t="s">
        <v>33</v>
      </c>
      <c r="E961" s="21" t="s">
        <v>6028</v>
      </c>
      <c r="F961" s="21" t="s">
        <v>6029</v>
      </c>
      <c r="G961" s="21"/>
    </row>
    <row r="962" ht="15.75" customHeight="1">
      <c r="A962" s="20" t="s">
        <v>6030</v>
      </c>
      <c r="B962" s="21" t="s">
        <v>872</v>
      </c>
      <c r="C962" s="21" t="s">
        <v>873</v>
      </c>
      <c r="D962" s="21" t="s">
        <v>33</v>
      </c>
      <c r="E962" s="21" t="s">
        <v>6031</v>
      </c>
      <c r="F962" s="21" t="s">
        <v>6032</v>
      </c>
      <c r="G962" s="21"/>
    </row>
    <row r="963" ht="15.75" customHeight="1">
      <c r="A963" s="20" t="s">
        <v>6033</v>
      </c>
      <c r="B963" s="21" t="s">
        <v>872</v>
      </c>
      <c r="C963" s="21" t="s">
        <v>873</v>
      </c>
      <c r="D963" s="21" t="s">
        <v>33</v>
      </c>
      <c r="E963" s="21" t="s">
        <v>6034</v>
      </c>
      <c r="F963" s="21" t="s">
        <v>6035</v>
      </c>
      <c r="G963" s="21"/>
    </row>
    <row r="964" ht="15.75" customHeight="1">
      <c r="A964" s="20" t="s">
        <v>6036</v>
      </c>
      <c r="B964" s="21" t="s">
        <v>872</v>
      </c>
      <c r="C964" s="21" t="s">
        <v>873</v>
      </c>
      <c r="D964" s="21" t="s">
        <v>33</v>
      </c>
      <c r="E964" s="21" t="s">
        <v>6037</v>
      </c>
      <c r="F964" s="21" t="s">
        <v>6038</v>
      </c>
      <c r="G964" s="21"/>
    </row>
    <row r="965" ht="15.75" customHeight="1">
      <c r="A965" s="20" t="s">
        <v>6039</v>
      </c>
      <c r="B965" s="21" t="s">
        <v>872</v>
      </c>
      <c r="C965" s="21" t="s">
        <v>873</v>
      </c>
      <c r="D965" s="21" t="s">
        <v>33</v>
      </c>
      <c r="E965" s="21" t="s">
        <v>6040</v>
      </c>
      <c r="F965" s="21" t="s">
        <v>6041</v>
      </c>
      <c r="G965" s="21"/>
    </row>
    <row r="966" ht="15.75" customHeight="1">
      <c r="A966" s="20" t="s">
        <v>6042</v>
      </c>
      <c r="B966" s="21" t="s">
        <v>872</v>
      </c>
      <c r="C966" s="21" t="s">
        <v>873</v>
      </c>
      <c r="D966" s="21" t="s">
        <v>33</v>
      </c>
      <c r="E966" s="21" t="s">
        <v>6043</v>
      </c>
      <c r="F966" s="21" t="s">
        <v>6044</v>
      </c>
      <c r="G966" s="21"/>
    </row>
    <row r="967" ht="15.75" customHeight="1">
      <c r="A967" s="20" t="s">
        <v>6045</v>
      </c>
      <c r="B967" s="21" t="s">
        <v>872</v>
      </c>
      <c r="C967" s="21" t="s">
        <v>873</v>
      </c>
      <c r="D967" s="21" t="s">
        <v>33</v>
      </c>
      <c r="E967" s="21" t="s">
        <v>6046</v>
      </c>
      <c r="F967" s="21" t="s">
        <v>6047</v>
      </c>
      <c r="G967" s="21"/>
    </row>
    <row r="968" ht="15.75" customHeight="1">
      <c r="A968" s="20" t="s">
        <v>5587</v>
      </c>
      <c r="B968" s="21" t="s">
        <v>872</v>
      </c>
      <c r="C968" s="21" t="s">
        <v>873</v>
      </c>
      <c r="D968" s="21" t="s">
        <v>33</v>
      </c>
      <c r="E968" s="21" t="s">
        <v>6048</v>
      </c>
      <c r="F968" s="21" t="s">
        <v>6049</v>
      </c>
      <c r="G968" s="21"/>
    </row>
    <row r="969" ht="15.75" customHeight="1">
      <c r="A969" s="20" t="s">
        <v>6050</v>
      </c>
      <c r="B969" s="21" t="s">
        <v>872</v>
      </c>
      <c r="C969" s="21" t="s">
        <v>873</v>
      </c>
      <c r="D969" s="21" t="s">
        <v>33</v>
      </c>
      <c r="E969" s="21" t="s">
        <v>6051</v>
      </c>
      <c r="F969" s="21" t="s">
        <v>6052</v>
      </c>
      <c r="G969" s="21"/>
    </row>
    <row r="970" ht="15.75" customHeight="1">
      <c r="A970" s="20" t="s">
        <v>6053</v>
      </c>
      <c r="B970" s="21" t="s">
        <v>872</v>
      </c>
      <c r="C970" s="21" t="s">
        <v>873</v>
      </c>
      <c r="D970" s="21" t="s">
        <v>33</v>
      </c>
      <c r="E970" s="21" t="s">
        <v>6054</v>
      </c>
      <c r="F970" s="21" t="s">
        <v>6055</v>
      </c>
      <c r="G970" s="21"/>
    </row>
    <row r="971" ht="15.75" customHeight="1">
      <c r="A971" s="20" t="s">
        <v>6056</v>
      </c>
      <c r="B971" s="21" t="s">
        <v>872</v>
      </c>
      <c r="C971" s="21" t="s">
        <v>873</v>
      </c>
      <c r="D971" s="21" t="s">
        <v>33</v>
      </c>
      <c r="E971" s="21" t="s">
        <v>6057</v>
      </c>
      <c r="F971" s="21" t="s">
        <v>6058</v>
      </c>
      <c r="G971" s="21"/>
    </row>
    <row r="972" ht="15.75" customHeight="1">
      <c r="A972" s="20" t="s">
        <v>6059</v>
      </c>
      <c r="B972" s="21" t="s">
        <v>872</v>
      </c>
      <c r="C972" s="21" t="s">
        <v>873</v>
      </c>
      <c r="D972" s="21" t="s">
        <v>33</v>
      </c>
      <c r="E972" s="21" t="s">
        <v>6060</v>
      </c>
      <c r="F972" s="21" t="s">
        <v>6061</v>
      </c>
      <c r="G972" s="21"/>
    </row>
    <row r="973" ht="15.75" customHeight="1">
      <c r="A973" s="20" t="s">
        <v>6062</v>
      </c>
      <c r="B973" s="21" t="s">
        <v>872</v>
      </c>
      <c r="C973" s="21" t="s">
        <v>873</v>
      </c>
      <c r="D973" s="21" t="s">
        <v>33</v>
      </c>
      <c r="E973" s="21" t="s">
        <v>6063</v>
      </c>
      <c r="F973" s="21" t="s">
        <v>6064</v>
      </c>
      <c r="G973" s="21"/>
    </row>
    <row r="974" ht="15.75" customHeight="1">
      <c r="A974" s="20" t="s">
        <v>6065</v>
      </c>
      <c r="B974" s="21" t="s">
        <v>872</v>
      </c>
      <c r="C974" s="21" t="s">
        <v>873</v>
      </c>
      <c r="D974" s="21" t="s">
        <v>33</v>
      </c>
      <c r="E974" s="21" t="s">
        <v>6066</v>
      </c>
      <c r="F974" s="21" t="s">
        <v>6067</v>
      </c>
      <c r="G974" s="21"/>
    </row>
    <row r="975" ht="15.75" customHeight="1">
      <c r="A975" s="20" t="s">
        <v>6068</v>
      </c>
      <c r="B975" s="21" t="s">
        <v>872</v>
      </c>
      <c r="C975" s="21" t="s">
        <v>873</v>
      </c>
      <c r="D975" s="21" t="s">
        <v>33</v>
      </c>
      <c r="E975" s="21" t="s">
        <v>6069</v>
      </c>
      <c r="F975" s="21" t="s">
        <v>6070</v>
      </c>
      <c r="G975" s="21"/>
    </row>
    <row r="976" ht="15.75" customHeight="1">
      <c r="A976" s="20" t="s">
        <v>6071</v>
      </c>
      <c r="B976" s="21" t="s">
        <v>872</v>
      </c>
      <c r="C976" s="21" t="s">
        <v>873</v>
      </c>
      <c r="D976" s="21" t="s">
        <v>33</v>
      </c>
      <c r="E976" s="21" t="s">
        <v>6072</v>
      </c>
      <c r="F976" s="21" t="s">
        <v>6073</v>
      </c>
      <c r="G976" s="21"/>
    </row>
    <row r="977" ht="15.75" customHeight="1">
      <c r="A977" s="20" t="s">
        <v>6074</v>
      </c>
      <c r="B977" s="21" t="s">
        <v>872</v>
      </c>
      <c r="C977" s="21" t="s">
        <v>873</v>
      </c>
      <c r="D977" s="21" t="s">
        <v>33</v>
      </c>
      <c r="E977" s="21" t="s">
        <v>6075</v>
      </c>
      <c r="F977" s="21" t="s">
        <v>6076</v>
      </c>
      <c r="G977" s="21"/>
    </row>
    <row r="978" ht="15.75" customHeight="1">
      <c r="A978" s="20" t="s">
        <v>6077</v>
      </c>
      <c r="B978" s="21" t="s">
        <v>6078</v>
      </c>
      <c r="C978" s="21" t="s">
        <v>1263</v>
      </c>
      <c r="D978" s="21" t="s">
        <v>33</v>
      </c>
      <c r="E978" s="21" t="s">
        <v>6079</v>
      </c>
      <c r="F978" s="21"/>
      <c r="G978" s="21"/>
    </row>
    <row r="979" ht="15.75" customHeight="1">
      <c r="A979" s="20" t="s">
        <v>6080</v>
      </c>
      <c r="B979" s="21" t="s">
        <v>6078</v>
      </c>
      <c r="C979" s="21" t="s">
        <v>1263</v>
      </c>
      <c r="D979" s="21" t="s">
        <v>33</v>
      </c>
      <c r="E979" s="21" t="s">
        <v>6081</v>
      </c>
      <c r="F979" s="21" t="s">
        <v>6082</v>
      </c>
      <c r="G979" s="21"/>
    </row>
    <row r="980" ht="15.75" customHeight="1">
      <c r="A980" s="20" t="s">
        <v>6083</v>
      </c>
      <c r="B980" s="21" t="s">
        <v>6084</v>
      </c>
      <c r="C980" s="21" t="s">
        <v>1263</v>
      </c>
      <c r="D980" s="21" t="s">
        <v>33</v>
      </c>
      <c r="E980" s="21" t="s">
        <v>6085</v>
      </c>
      <c r="F980" s="21" t="s">
        <v>6086</v>
      </c>
      <c r="G980" s="21"/>
    </row>
    <row r="981" ht="15.75" customHeight="1">
      <c r="A981" s="20" t="s">
        <v>6087</v>
      </c>
      <c r="B981" s="21" t="s">
        <v>6084</v>
      </c>
      <c r="C981" s="21" t="s">
        <v>1263</v>
      </c>
      <c r="D981" s="21" t="s">
        <v>33</v>
      </c>
      <c r="E981" s="21" t="s">
        <v>6088</v>
      </c>
      <c r="F981" s="21" t="s">
        <v>6089</v>
      </c>
      <c r="G981" s="21"/>
    </row>
    <row r="982" ht="15.75" customHeight="1">
      <c r="A982" s="20" t="s">
        <v>6090</v>
      </c>
      <c r="B982" s="21" t="s">
        <v>6091</v>
      </c>
      <c r="C982" s="21" t="s">
        <v>1119</v>
      </c>
      <c r="D982" s="21" t="s">
        <v>33</v>
      </c>
      <c r="E982" s="21" t="s">
        <v>6092</v>
      </c>
      <c r="F982" s="21" t="s">
        <v>6093</v>
      </c>
      <c r="G982" s="21"/>
    </row>
    <row r="983" ht="15.75" customHeight="1">
      <c r="A983" s="20" t="s">
        <v>6094</v>
      </c>
      <c r="B983" s="21" t="s">
        <v>6095</v>
      </c>
      <c r="C983" s="21" t="s">
        <v>1095</v>
      </c>
      <c r="D983" s="21" t="s">
        <v>33</v>
      </c>
      <c r="E983" s="21" t="s">
        <v>6096</v>
      </c>
      <c r="F983" s="21" t="s">
        <v>6097</v>
      </c>
      <c r="G983" s="21"/>
    </row>
    <row r="984" ht="15.75" customHeight="1">
      <c r="A984" s="20" t="s">
        <v>6098</v>
      </c>
      <c r="B984" s="21" t="s">
        <v>933</v>
      </c>
      <c r="C984" s="21" t="s">
        <v>918</v>
      </c>
      <c r="D984" s="21" t="s">
        <v>33</v>
      </c>
      <c r="E984" s="21" t="s">
        <v>6099</v>
      </c>
      <c r="F984" s="21" t="s">
        <v>6100</v>
      </c>
      <c r="G984" s="21"/>
    </row>
    <row r="985" ht="15.75" customHeight="1">
      <c r="A985" s="20" t="s">
        <v>6101</v>
      </c>
      <c r="B985" s="21" t="s">
        <v>933</v>
      </c>
      <c r="C985" s="21" t="s">
        <v>918</v>
      </c>
      <c r="D985" s="21" t="s">
        <v>33</v>
      </c>
      <c r="E985" s="21" t="s">
        <v>6102</v>
      </c>
      <c r="F985" s="21" t="s">
        <v>6103</v>
      </c>
      <c r="G985" s="21"/>
    </row>
    <row r="986" ht="15.75" customHeight="1">
      <c r="A986" s="20" t="s">
        <v>6104</v>
      </c>
      <c r="B986" s="21" t="s">
        <v>933</v>
      </c>
      <c r="C986" s="21" t="s">
        <v>918</v>
      </c>
      <c r="D986" s="21" t="s">
        <v>33</v>
      </c>
      <c r="E986" s="21" t="s">
        <v>6105</v>
      </c>
      <c r="F986" s="21" t="s">
        <v>6106</v>
      </c>
      <c r="G986" s="21"/>
    </row>
    <row r="987" ht="15.75" customHeight="1">
      <c r="A987" s="20" t="s">
        <v>6107</v>
      </c>
      <c r="B987" s="21" t="s">
        <v>933</v>
      </c>
      <c r="C987" s="21" t="s">
        <v>918</v>
      </c>
      <c r="D987" s="21" t="s">
        <v>33</v>
      </c>
      <c r="E987" s="21" t="s">
        <v>6108</v>
      </c>
      <c r="F987" s="21" t="s">
        <v>6109</v>
      </c>
      <c r="G987" s="21"/>
    </row>
    <row r="988" ht="15.75" customHeight="1">
      <c r="A988" s="20" t="s">
        <v>6110</v>
      </c>
      <c r="B988" s="21" t="s">
        <v>933</v>
      </c>
      <c r="C988" s="21" t="s">
        <v>918</v>
      </c>
      <c r="D988" s="21" t="s">
        <v>33</v>
      </c>
      <c r="E988" s="21" t="s">
        <v>6111</v>
      </c>
      <c r="F988" s="21" t="s">
        <v>6112</v>
      </c>
      <c r="G988" s="21"/>
    </row>
    <row r="989" ht="15.75" customHeight="1">
      <c r="A989" s="20" t="s">
        <v>6113</v>
      </c>
      <c r="B989" s="21" t="s">
        <v>933</v>
      </c>
      <c r="C989" s="21" t="s">
        <v>918</v>
      </c>
      <c r="D989" s="21" t="s">
        <v>33</v>
      </c>
      <c r="E989" s="21" t="s">
        <v>6114</v>
      </c>
      <c r="F989" s="21" t="s">
        <v>6115</v>
      </c>
      <c r="G989" s="21"/>
    </row>
    <row r="990" ht="15.75" customHeight="1">
      <c r="A990" s="20" t="s">
        <v>6116</v>
      </c>
      <c r="B990" s="21" t="s">
        <v>933</v>
      </c>
      <c r="C990" s="21" t="s">
        <v>918</v>
      </c>
      <c r="D990" s="21" t="s">
        <v>33</v>
      </c>
      <c r="E990" s="21" t="s">
        <v>6117</v>
      </c>
      <c r="F990" s="21" t="s">
        <v>6118</v>
      </c>
      <c r="G990" s="21"/>
    </row>
    <row r="991" ht="15.75" customHeight="1">
      <c r="A991" s="20" t="s">
        <v>6119</v>
      </c>
      <c r="B991" s="21" t="s">
        <v>933</v>
      </c>
      <c r="C991" s="21" t="s">
        <v>918</v>
      </c>
      <c r="D991" s="21" t="s">
        <v>33</v>
      </c>
      <c r="E991" s="21" t="s">
        <v>6120</v>
      </c>
      <c r="F991" s="21" t="s">
        <v>6121</v>
      </c>
      <c r="G991" s="21"/>
    </row>
    <row r="992" ht="15.75" customHeight="1">
      <c r="A992" s="20" t="s">
        <v>6122</v>
      </c>
      <c r="B992" s="21" t="s">
        <v>1245</v>
      </c>
      <c r="C992" s="21" t="s">
        <v>1246</v>
      </c>
      <c r="D992" s="21" t="s">
        <v>33</v>
      </c>
      <c r="E992" s="21" t="s">
        <v>6123</v>
      </c>
      <c r="F992" s="21"/>
      <c r="G992" s="21"/>
    </row>
    <row r="993" ht="15.75" customHeight="1">
      <c r="A993" s="20" t="s">
        <v>6124</v>
      </c>
      <c r="B993" s="21" t="s">
        <v>1245</v>
      </c>
      <c r="C993" s="21" t="s">
        <v>1246</v>
      </c>
      <c r="D993" s="21" t="s">
        <v>33</v>
      </c>
      <c r="E993" s="21" t="s">
        <v>6125</v>
      </c>
      <c r="F993" s="21" t="s">
        <v>6126</v>
      </c>
      <c r="G993" s="21"/>
    </row>
    <row r="994" ht="15.75" customHeight="1">
      <c r="A994" s="20" t="s">
        <v>6127</v>
      </c>
      <c r="B994" s="21" t="s">
        <v>1245</v>
      </c>
      <c r="C994" s="21" t="s">
        <v>1246</v>
      </c>
      <c r="D994" s="21" t="s">
        <v>33</v>
      </c>
      <c r="E994" s="21" t="s">
        <v>6128</v>
      </c>
      <c r="F994" s="21" t="s">
        <v>6129</v>
      </c>
      <c r="G994" s="21"/>
    </row>
    <row r="995" ht="15.75" customHeight="1">
      <c r="A995" s="20" t="s">
        <v>6130</v>
      </c>
      <c r="B995" s="21" t="s">
        <v>6131</v>
      </c>
      <c r="C995" s="21" t="s">
        <v>686</v>
      </c>
      <c r="D995" s="21" t="s">
        <v>33</v>
      </c>
      <c r="E995" s="21" t="s">
        <v>6132</v>
      </c>
      <c r="F995" s="21"/>
      <c r="G995" s="21"/>
    </row>
    <row r="996" ht="15.75" customHeight="1">
      <c r="A996" s="20" t="s">
        <v>6133</v>
      </c>
      <c r="B996" s="21" t="s">
        <v>6134</v>
      </c>
      <c r="C996" s="21" t="s">
        <v>1258</v>
      </c>
      <c r="D996" s="21" t="s">
        <v>33</v>
      </c>
      <c r="E996" s="21" t="s">
        <v>6135</v>
      </c>
      <c r="F996" s="21" t="s">
        <v>6136</v>
      </c>
      <c r="G996" s="21"/>
    </row>
    <row r="997" ht="15.75" customHeight="1">
      <c r="A997" s="20" t="s">
        <v>6137</v>
      </c>
      <c r="B997" s="21" t="s">
        <v>6138</v>
      </c>
      <c r="C997" s="21" t="s">
        <v>6139</v>
      </c>
      <c r="D997" s="21" t="s">
        <v>33</v>
      </c>
      <c r="E997" s="21" t="s">
        <v>6140</v>
      </c>
      <c r="F997" s="21" t="s">
        <v>6141</v>
      </c>
      <c r="G997" s="21"/>
    </row>
    <row r="998" ht="15.75" customHeight="1">
      <c r="A998" s="20" t="s">
        <v>6142</v>
      </c>
      <c r="B998" s="21" t="s">
        <v>6143</v>
      </c>
      <c r="C998" s="21" t="s">
        <v>1050</v>
      </c>
      <c r="D998" s="21" t="s">
        <v>33</v>
      </c>
      <c r="E998" s="21" t="s">
        <v>6144</v>
      </c>
      <c r="F998" s="21" t="s">
        <v>6145</v>
      </c>
      <c r="G998" s="21"/>
    </row>
    <row r="999" ht="15.75" customHeight="1">
      <c r="A999" s="20" t="s">
        <v>6146</v>
      </c>
      <c r="B999" s="21" t="s">
        <v>945</v>
      </c>
      <c r="C999" s="21" t="s">
        <v>946</v>
      </c>
      <c r="D999" s="21" t="s">
        <v>33</v>
      </c>
      <c r="E999" s="21" t="s">
        <v>6147</v>
      </c>
      <c r="F999" s="21" t="s">
        <v>6148</v>
      </c>
      <c r="G999" s="21"/>
    </row>
    <row r="1000" ht="15.75" customHeight="1">
      <c r="A1000" s="20" t="s">
        <v>6149</v>
      </c>
      <c r="B1000" s="21" t="s">
        <v>945</v>
      </c>
      <c r="C1000" s="21" t="s">
        <v>946</v>
      </c>
      <c r="D1000" s="21" t="s">
        <v>33</v>
      </c>
      <c r="E1000" s="21" t="s">
        <v>6150</v>
      </c>
      <c r="F1000" s="21" t="s">
        <v>6151</v>
      </c>
      <c r="G1000" s="21"/>
    </row>
    <row r="1001" ht="15.75" customHeight="1">
      <c r="A1001" s="20" t="s">
        <v>6152</v>
      </c>
      <c r="B1001" s="21" t="s">
        <v>945</v>
      </c>
      <c r="C1001" s="21" t="s">
        <v>946</v>
      </c>
      <c r="D1001" s="21" t="s">
        <v>33</v>
      </c>
      <c r="E1001" s="21" t="s">
        <v>6153</v>
      </c>
      <c r="F1001" s="21" t="s">
        <v>6154</v>
      </c>
      <c r="G1001" s="21"/>
    </row>
    <row r="1002" ht="15.75" customHeight="1">
      <c r="A1002" s="20" t="s">
        <v>6155</v>
      </c>
      <c r="B1002" s="21" t="s">
        <v>945</v>
      </c>
      <c r="C1002" s="21" t="s">
        <v>946</v>
      </c>
      <c r="D1002" s="21" t="s">
        <v>33</v>
      </c>
      <c r="E1002" s="21" t="s">
        <v>6156</v>
      </c>
      <c r="F1002" s="21" t="s">
        <v>6157</v>
      </c>
      <c r="G1002" s="21"/>
    </row>
    <row r="1003" ht="15.75" customHeight="1">
      <c r="A1003" s="20" t="s">
        <v>6158</v>
      </c>
      <c r="B1003" s="21" t="s">
        <v>5524</v>
      </c>
      <c r="C1003" s="21" t="s">
        <v>5520</v>
      </c>
      <c r="D1003" s="21" t="s">
        <v>33</v>
      </c>
      <c r="E1003" s="21" t="s">
        <v>6159</v>
      </c>
      <c r="F1003" s="21" t="s">
        <v>6160</v>
      </c>
      <c r="G1003" s="21"/>
    </row>
    <row r="1004" ht="15.75" customHeight="1">
      <c r="A1004" s="20" t="s">
        <v>6161</v>
      </c>
      <c r="B1004" s="21" t="s">
        <v>5524</v>
      </c>
      <c r="C1004" s="21" t="s">
        <v>6162</v>
      </c>
      <c r="D1004" s="21" t="s">
        <v>33</v>
      </c>
      <c r="E1004" s="21" t="s">
        <v>6163</v>
      </c>
      <c r="F1004" s="21" t="s">
        <v>6164</v>
      </c>
      <c r="G1004" s="21"/>
    </row>
    <row r="1005" ht="15.75" customHeight="1">
      <c r="A1005" s="20" t="s">
        <v>6165</v>
      </c>
      <c r="B1005" s="21" t="s">
        <v>5524</v>
      </c>
      <c r="C1005" s="21" t="s">
        <v>5520</v>
      </c>
      <c r="D1005" s="21" t="s">
        <v>33</v>
      </c>
      <c r="E1005" s="21" t="s">
        <v>6166</v>
      </c>
      <c r="F1005" s="21" t="s">
        <v>6167</v>
      </c>
      <c r="G1005" s="21"/>
    </row>
    <row r="1006" ht="15.75" customHeight="1">
      <c r="A1006" s="20" t="s">
        <v>6168</v>
      </c>
      <c r="B1006" s="21" t="s">
        <v>5524</v>
      </c>
      <c r="C1006" s="21" t="s">
        <v>5520</v>
      </c>
      <c r="D1006" s="21" t="s">
        <v>33</v>
      </c>
      <c r="E1006" s="21" t="s">
        <v>6169</v>
      </c>
      <c r="F1006" s="21" t="s">
        <v>6170</v>
      </c>
      <c r="G1006" s="21"/>
    </row>
    <row r="1007" ht="15.75" customHeight="1">
      <c r="A1007" s="20" t="s">
        <v>6171</v>
      </c>
      <c r="B1007" s="21" t="s">
        <v>5524</v>
      </c>
      <c r="C1007" s="21" t="s">
        <v>5520</v>
      </c>
      <c r="D1007" s="21" t="s">
        <v>33</v>
      </c>
      <c r="E1007" s="21" t="s">
        <v>6172</v>
      </c>
      <c r="F1007" s="21" t="s">
        <v>6173</v>
      </c>
      <c r="G1007" s="21"/>
    </row>
    <row r="1008" ht="15.75" customHeight="1">
      <c r="A1008" s="20" t="s">
        <v>6174</v>
      </c>
      <c r="B1008" s="21" t="s">
        <v>5524</v>
      </c>
      <c r="C1008" s="21" t="s">
        <v>5520</v>
      </c>
      <c r="D1008" s="21" t="s">
        <v>33</v>
      </c>
      <c r="E1008" s="21" t="s">
        <v>6175</v>
      </c>
      <c r="F1008" s="21" t="s">
        <v>6176</v>
      </c>
      <c r="G1008" s="21"/>
    </row>
    <row r="1009" ht="15.75" customHeight="1">
      <c r="A1009" s="20" t="s">
        <v>6177</v>
      </c>
      <c r="B1009" s="21" t="s">
        <v>5524</v>
      </c>
      <c r="C1009" s="21" t="s">
        <v>6162</v>
      </c>
      <c r="D1009" s="21" t="s">
        <v>33</v>
      </c>
      <c r="E1009" s="21" t="s">
        <v>6178</v>
      </c>
      <c r="F1009" s="21" t="s">
        <v>6179</v>
      </c>
      <c r="G1009" s="21"/>
    </row>
    <row r="1010" ht="15.75" customHeight="1">
      <c r="A1010" s="20" t="s">
        <v>6180</v>
      </c>
      <c r="B1010" s="21" t="s">
        <v>5524</v>
      </c>
      <c r="C1010" s="21" t="s">
        <v>5520</v>
      </c>
      <c r="D1010" s="21" t="s">
        <v>33</v>
      </c>
      <c r="E1010" s="21" t="s">
        <v>6181</v>
      </c>
      <c r="F1010" s="21" t="s">
        <v>6182</v>
      </c>
      <c r="G1010" s="21"/>
    </row>
    <row r="1011" ht="15.75" customHeight="1">
      <c r="A1011" s="20" t="s">
        <v>6183</v>
      </c>
      <c r="B1011" s="21" t="s">
        <v>5524</v>
      </c>
      <c r="C1011" s="21" t="s">
        <v>5520</v>
      </c>
      <c r="D1011" s="21" t="s">
        <v>33</v>
      </c>
      <c r="E1011" s="21" t="s">
        <v>6184</v>
      </c>
      <c r="F1011" s="21" t="s">
        <v>6185</v>
      </c>
      <c r="G1011" s="21"/>
    </row>
    <row r="1012" ht="15.75" customHeight="1">
      <c r="A1012" s="20" t="s">
        <v>6186</v>
      </c>
      <c r="B1012" s="21" t="s">
        <v>5524</v>
      </c>
      <c r="C1012" s="21" t="s">
        <v>5520</v>
      </c>
      <c r="D1012" s="21" t="s">
        <v>33</v>
      </c>
      <c r="E1012" s="21" t="s">
        <v>6187</v>
      </c>
      <c r="F1012" s="21" t="s">
        <v>6188</v>
      </c>
      <c r="G1012" s="21"/>
    </row>
    <row r="1013" ht="15.75" customHeight="1">
      <c r="A1013" s="20" t="s">
        <v>6189</v>
      </c>
      <c r="B1013" s="21" t="s">
        <v>5524</v>
      </c>
      <c r="C1013" s="21" t="s">
        <v>6162</v>
      </c>
      <c r="D1013" s="21" t="s">
        <v>33</v>
      </c>
      <c r="E1013" s="21" t="s">
        <v>6190</v>
      </c>
      <c r="F1013" s="21" t="s">
        <v>6191</v>
      </c>
      <c r="G1013" s="21"/>
    </row>
    <row r="1014" ht="15.75" customHeight="1">
      <c r="A1014" s="20" t="s">
        <v>6192</v>
      </c>
      <c r="B1014" s="21" t="s">
        <v>5524</v>
      </c>
      <c r="C1014" s="21" t="s">
        <v>858</v>
      </c>
      <c r="D1014" s="21" t="s">
        <v>33</v>
      </c>
      <c r="E1014" s="21" t="s">
        <v>6193</v>
      </c>
      <c r="F1014" s="21" t="s">
        <v>6194</v>
      </c>
      <c r="G1014" s="21"/>
    </row>
    <row r="1015" ht="15.75" customHeight="1">
      <c r="A1015" s="20" t="s">
        <v>6195</v>
      </c>
      <c r="B1015" s="21" t="s">
        <v>6196</v>
      </c>
      <c r="C1015" s="21" t="s">
        <v>968</v>
      </c>
      <c r="D1015" s="21" t="s">
        <v>33</v>
      </c>
      <c r="E1015" s="21" t="s">
        <v>6197</v>
      </c>
      <c r="F1015" s="21"/>
      <c r="G1015" s="21"/>
    </row>
    <row r="1016" ht="15.75" customHeight="1">
      <c r="A1016" s="20" t="s">
        <v>6198</v>
      </c>
      <c r="B1016" s="21" t="s">
        <v>6199</v>
      </c>
      <c r="C1016" s="21" t="s">
        <v>1263</v>
      </c>
      <c r="D1016" s="21" t="s">
        <v>33</v>
      </c>
      <c r="E1016" s="21" t="s">
        <v>6200</v>
      </c>
      <c r="F1016" s="21"/>
      <c r="G1016" s="21"/>
    </row>
    <row r="1017" ht="15.75" customHeight="1">
      <c r="A1017" s="20" t="s">
        <v>6201</v>
      </c>
      <c r="B1017" s="21" t="s">
        <v>6199</v>
      </c>
      <c r="C1017" s="21" t="s">
        <v>1263</v>
      </c>
      <c r="D1017" s="21" t="s">
        <v>33</v>
      </c>
      <c r="E1017" s="21" t="s">
        <v>6202</v>
      </c>
      <c r="F1017" s="21" t="s">
        <v>6203</v>
      </c>
      <c r="G1017" s="21"/>
    </row>
    <row r="1018" ht="15.75" customHeight="1">
      <c r="A1018" s="20" t="s">
        <v>6204</v>
      </c>
      <c r="B1018" s="21" t="s">
        <v>6199</v>
      </c>
      <c r="C1018" s="21" t="s">
        <v>1263</v>
      </c>
      <c r="D1018" s="21" t="s">
        <v>33</v>
      </c>
      <c r="E1018" s="21" t="s">
        <v>6205</v>
      </c>
      <c r="F1018" s="21" t="s">
        <v>6206</v>
      </c>
      <c r="G1018" s="21"/>
    </row>
    <row r="1019" ht="15.75" customHeight="1">
      <c r="A1019" s="20" t="s">
        <v>6207</v>
      </c>
      <c r="B1019" s="21" t="s">
        <v>6208</v>
      </c>
      <c r="C1019" s="21" t="s">
        <v>6139</v>
      </c>
      <c r="D1019" s="21" t="s">
        <v>33</v>
      </c>
      <c r="E1019" s="21" t="s">
        <v>6209</v>
      </c>
      <c r="F1019" s="21" t="s">
        <v>6210</v>
      </c>
      <c r="G1019" s="21"/>
    </row>
    <row r="1020" ht="15.75" customHeight="1">
      <c r="A1020" s="20" t="s">
        <v>6211</v>
      </c>
      <c r="B1020" s="21" t="s">
        <v>6212</v>
      </c>
      <c r="C1020" s="21" t="s">
        <v>6213</v>
      </c>
      <c r="D1020" s="21" t="s">
        <v>33</v>
      </c>
      <c r="E1020" s="21" t="s">
        <v>6214</v>
      </c>
      <c r="F1020" s="21" t="s">
        <v>6215</v>
      </c>
      <c r="G1020" s="21"/>
    </row>
    <row r="1021" ht="15.75" customHeight="1">
      <c r="A1021" s="20" t="s">
        <v>6216</v>
      </c>
      <c r="B1021" s="21" t="s">
        <v>6217</v>
      </c>
      <c r="C1021" s="21" t="s">
        <v>802</v>
      </c>
      <c r="D1021" s="21" t="s">
        <v>33</v>
      </c>
      <c r="E1021" s="21" t="s">
        <v>6218</v>
      </c>
      <c r="F1021" s="21" t="s">
        <v>6219</v>
      </c>
      <c r="G1021" s="21"/>
    </row>
    <row r="1022" ht="15.75" customHeight="1">
      <c r="A1022" s="20" t="s">
        <v>6220</v>
      </c>
      <c r="B1022" s="21" t="s">
        <v>6217</v>
      </c>
      <c r="C1022" s="21" t="s">
        <v>802</v>
      </c>
      <c r="D1022" s="21" t="s">
        <v>33</v>
      </c>
      <c r="E1022" s="21" t="s">
        <v>6221</v>
      </c>
      <c r="F1022" s="21" t="s">
        <v>6222</v>
      </c>
      <c r="G1022" s="21"/>
    </row>
    <row r="1023" ht="15.75" customHeight="1">
      <c r="A1023" s="20" t="s">
        <v>6223</v>
      </c>
      <c r="B1023" s="21" t="s">
        <v>6217</v>
      </c>
      <c r="C1023" s="21" t="s">
        <v>802</v>
      </c>
      <c r="D1023" s="21" t="s">
        <v>33</v>
      </c>
      <c r="E1023" s="21" t="s">
        <v>6224</v>
      </c>
      <c r="F1023" s="21" t="s">
        <v>6225</v>
      </c>
      <c r="G1023" s="21"/>
    </row>
    <row r="1024" ht="15.75" customHeight="1">
      <c r="A1024" s="20" t="s">
        <v>6226</v>
      </c>
      <c r="B1024" s="21" t="s">
        <v>6217</v>
      </c>
      <c r="C1024" s="21" t="s">
        <v>802</v>
      </c>
      <c r="D1024" s="21" t="s">
        <v>33</v>
      </c>
      <c r="E1024" s="21" t="s">
        <v>6227</v>
      </c>
      <c r="F1024" s="21" t="s">
        <v>6228</v>
      </c>
      <c r="G1024" s="21"/>
    </row>
    <row r="1025" ht="15.75" customHeight="1">
      <c r="A1025" s="20" t="s">
        <v>6229</v>
      </c>
      <c r="B1025" s="21" t="s">
        <v>6230</v>
      </c>
      <c r="C1025" s="21" t="s">
        <v>5888</v>
      </c>
      <c r="D1025" s="21" t="s">
        <v>33</v>
      </c>
      <c r="E1025" s="21" t="s">
        <v>6231</v>
      </c>
      <c r="F1025" s="21"/>
      <c r="G1025" s="21"/>
    </row>
    <row r="1026" ht="15.75" customHeight="1">
      <c r="A1026" s="20" t="s">
        <v>6232</v>
      </c>
      <c r="B1026" s="21" t="s">
        <v>6233</v>
      </c>
      <c r="C1026" s="21" t="s">
        <v>6234</v>
      </c>
      <c r="D1026" s="21" t="s">
        <v>33</v>
      </c>
      <c r="E1026" s="21" t="s">
        <v>6235</v>
      </c>
      <c r="F1026" s="21" t="s">
        <v>6236</v>
      </c>
      <c r="G1026" s="21"/>
    </row>
    <row r="1027" ht="15.75" customHeight="1">
      <c r="A1027" s="20" t="s">
        <v>6237</v>
      </c>
      <c r="B1027" s="21" t="s">
        <v>6238</v>
      </c>
      <c r="C1027" s="21" t="s">
        <v>6234</v>
      </c>
      <c r="D1027" s="21" t="s">
        <v>33</v>
      </c>
      <c r="E1027" s="21" t="s">
        <v>6239</v>
      </c>
      <c r="F1027" s="21" t="s">
        <v>6240</v>
      </c>
      <c r="G1027" s="21"/>
    </row>
    <row r="1028" ht="15.75" customHeight="1">
      <c r="A1028" s="20" t="s">
        <v>6241</v>
      </c>
      <c r="B1028" s="21" t="s">
        <v>6238</v>
      </c>
      <c r="C1028" s="21" t="s">
        <v>6234</v>
      </c>
      <c r="D1028" s="21" t="s">
        <v>33</v>
      </c>
      <c r="E1028" s="21" t="s">
        <v>6242</v>
      </c>
      <c r="F1028" s="21" t="s">
        <v>6243</v>
      </c>
      <c r="G1028" s="21"/>
    </row>
    <row r="1029" ht="15.75" customHeight="1">
      <c r="A1029" s="20" t="s">
        <v>6244</v>
      </c>
      <c r="B1029" s="21" t="s">
        <v>6238</v>
      </c>
      <c r="C1029" s="21" t="s">
        <v>6234</v>
      </c>
      <c r="D1029" s="21" t="s">
        <v>33</v>
      </c>
      <c r="E1029" s="21" t="s">
        <v>6245</v>
      </c>
      <c r="F1029" s="21" t="s">
        <v>6246</v>
      </c>
      <c r="G1029" s="21"/>
    </row>
    <row r="1030" ht="15.75" customHeight="1">
      <c r="A1030" s="20" t="s">
        <v>6247</v>
      </c>
      <c r="B1030" s="21" t="s">
        <v>6248</v>
      </c>
      <c r="C1030" s="21" t="s">
        <v>986</v>
      </c>
      <c r="D1030" s="21" t="s">
        <v>33</v>
      </c>
      <c r="E1030" s="21" t="s">
        <v>6249</v>
      </c>
      <c r="F1030" s="21" t="s">
        <v>6250</v>
      </c>
      <c r="G1030" s="21"/>
    </row>
    <row r="1031" ht="15.75" customHeight="1">
      <c r="A1031" s="20" t="s">
        <v>6251</v>
      </c>
      <c r="B1031" s="21" t="s">
        <v>6252</v>
      </c>
      <c r="C1031" s="21" t="s">
        <v>1258</v>
      </c>
      <c r="D1031" s="21" t="s">
        <v>33</v>
      </c>
      <c r="E1031" s="21" t="s">
        <v>6253</v>
      </c>
      <c r="F1031" s="21" t="s">
        <v>6254</v>
      </c>
      <c r="G1031" s="21"/>
    </row>
    <row r="1032" ht="15.75" customHeight="1">
      <c r="A1032" s="20" t="s">
        <v>6255</v>
      </c>
      <c r="B1032" s="21" t="s">
        <v>6256</v>
      </c>
      <c r="C1032" s="21" t="s">
        <v>6257</v>
      </c>
      <c r="D1032" s="21" t="s">
        <v>33</v>
      </c>
      <c r="E1032" s="21" t="s">
        <v>6258</v>
      </c>
      <c r="F1032" s="21" t="s">
        <v>6259</v>
      </c>
      <c r="G1032" s="21"/>
    </row>
    <row r="1033" ht="15.75" customHeight="1">
      <c r="A1033" s="20" t="s">
        <v>6260</v>
      </c>
      <c r="B1033" s="21" t="s">
        <v>995</v>
      </c>
      <c r="C1033" s="21" t="s">
        <v>802</v>
      </c>
      <c r="D1033" s="21" t="s">
        <v>33</v>
      </c>
      <c r="E1033" s="21" t="s">
        <v>6261</v>
      </c>
      <c r="F1033" s="21" t="s">
        <v>6262</v>
      </c>
      <c r="G1033" s="21"/>
    </row>
    <row r="1034" ht="15.75" customHeight="1">
      <c r="A1034" s="20" t="s">
        <v>6263</v>
      </c>
      <c r="B1034" s="21" t="s">
        <v>995</v>
      </c>
      <c r="C1034" s="21" t="s">
        <v>802</v>
      </c>
      <c r="D1034" s="21" t="s">
        <v>33</v>
      </c>
      <c r="E1034" s="21" t="s">
        <v>6264</v>
      </c>
      <c r="F1034" s="21" t="s">
        <v>6265</v>
      </c>
      <c r="G1034" s="21"/>
    </row>
    <row r="1035" ht="15.75" customHeight="1">
      <c r="A1035" s="20" t="s">
        <v>6266</v>
      </c>
      <c r="B1035" s="21" t="s">
        <v>6267</v>
      </c>
      <c r="C1035" s="21" t="s">
        <v>6268</v>
      </c>
      <c r="D1035" s="21" t="s">
        <v>33</v>
      </c>
      <c r="E1035" s="21" t="s">
        <v>6269</v>
      </c>
      <c r="F1035" s="21" t="s">
        <v>6270</v>
      </c>
      <c r="G1035" s="21"/>
    </row>
    <row r="1036" ht="15.75" customHeight="1">
      <c r="A1036" s="20" t="s">
        <v>6271</v>
      </c>
      <c r="B1036" s="21" t="s">
        <v>6272</v>
      </c>
      <c r="C1036" s="21" t="s">
        <v>6139</v>
      </c>
      <c r="D1036" s="21" t="s">
        <v>33</v>
      </c>
      <c r="E1036" s="21" t="s">
        <v>6273</v>
      </c>
      <c r="F1036" s="21" t="s">
        <v>6274</v>
      </c>
      <c r="G1036" s="21"/>
    </row>
    <row r="1037" ht="15.75" customHeight="1">
      <c r="A1037" s="20" t="s">
        <v>6275</v>
      </c>
      <c r="B1037" s="21" t="s">
        <v>6272</v>
      </c>
      <c r="C1037" s="21" t="s">
        <v>6139</v>
      </c>
      <c r="D1037" s="21" t="s">
        <v>33</v>
      </c>
      <c r="E1037" s="21" t="s">
        <v>6276</v>
      </c>
      <c r="F1037" s="21" t="s">
        <v>6277</v>
      </c>
      <c r="G1037" s="21"/>
    </row>
    <row r="1038" ht="15.75" customHeight="1">
      <c r="A1038" s="20" t="s">
        <v>6278</v>
      </c>
      <c r="B1038" s="21" t="s">
        <v>6272</v>
      </c>
      <c r="C1038" s="21" t="s">
        <v>6139</v>
      </c>
      <c r="D1038" s="21" t="s">
        <v>33</v>
      </c>
      <c r="E1038" s="21" t="s">
        <v>6279</v>
      </c>
      <c r="F1038" s="21" t="s">
        <v>6280</v>
      </c>
      <c r="G1038" s="21"/>
    </row>
    <row r="1039" ht="15.75" customHeight="1">
      <c r="A1039" s="20" t="s">
        <v>6281</v>
      </c>
      <c r="B1039" s="21" t="s">
        <v>6272</v>
      </c>
      <c r="C1039" s="21" t="s">
        <v>6139</v>
      </c>
      <c r="D1039" s="21" t="s">
        <v>33</v>
      </c>
      <c r="E1039" s="21" t="s">
        <v>6282</v>
      </c>
      <c r="F1039" s="21" t="s">
        <v>6283</v>
      </c>
      <c r="G1039" s="21"/>
    </row>
    <row r="1040" ht="15.75" customHeight="1">
      <c r="A1040" s="20" t="s">
        <v>6284</v>
      </c>
      <c r="B1040" s="21" t="s">
        <v>6285</v>
      </c>
      <c r="C1040" s="21" t="s">
        <v>6286</v>
      </c>
      <c r="D1040" s="21" t="s">
        <v>33</v>
      </c>
      <c r="E1040" s="21" t="s">
        <v>6287</v>
      </c>
      <c r="F1040" s="21" t="s">
        <v>6288</v>
      </c>
      <c r="G1040" s="21"/>
    </row>
    <row r="1041" ht="15.75" customHeight="1">
      <c r="A1041" s="20" t="s">
        <v>6289</v>
      </c>
      <c r="B1041" s="21" t="s">
        <v>6290</v>
      </c>
      <c r="C1041" s="21" t="s">
        <v>6286</v>
      </c>
      <c r="D1041" s="21" t="s">
        <v>33</v>
      </c>
      <c r="E1041" s="21" t="s">
        <v>6291</v>
      </c>
      <c r="F1041" s="21" t="s">
        <v>6292</v>
      </c>
      <c r="G1041" s="21"/>
    </row>
    <row r="1042" ht="15.75" customHeight="1">
      <c r="A1042" s="20" t="s">
        <v>6293</v>
      </c>
      <c r="B1042" s="21" t="s">
        <v>6290</v>
      </c>
      <c r="C1042" s="21" t="s">
        <v>6286</v>
      </c>
      <c r="D1042" s="21" t="s">
        <v>33</v>
      </c>
      <c r="E1042" s="21" t="s">
        <v>6294</v>
      </c>
      <c r="F1042" s="21" t="s">
        <v>6295</v>
      </c>
      <c r="G1042" s="21"/>
    </row>
    <row r="1043" ht="15.75" customHeight="1">
      <c r="A1043" s="20" t="s">
        <v>6296</v>
      </c>
      <c r="B1043" s="21" t="s">
        <v>6290</v>
      </c>
      <c r="C1043" s="21" t="s">
        <v>6286</v>
      </c>
      <c r="D1043" s="21" t="s">
        <v>33</v>
      </c>
      <c r="E1043" s="21" t="s">
        <v>6297</v>
      </c>
      <c r="F1043" s="21" t="s">
        <v>6298</v>
      </c>
      <c r="G1043" s="21"/>
    </row>
    <row r="1044" ht="15.75" customHeight="1">
      <c r="A1044" s="20" t="s">
        <v>6299</v>
      </c>
      <c r="B1044" s="21" t="s">
        <v>6300</v>
      </c>
      <c r="C1044" s="21" t="s">
        <v>918</v>
      </c>
      <c r="D1044" s="21" t="s">
        <v>33</v>
      </c>
      <c r="E1044" s="21" t="s">
        <v>6301</v>
      </c>
      <c r="F1044" s="21" t="s">
        <v>6302</v>
      </c>
      <c r="G1044" s="21"/>
    </row>
    <row r="1045" ht="15.75" customHeight="1">
      <c r="A1045" s="20" t="s">
        <v>6303</v>
      </c>
      <c r="B1045" s="21" t="s">
        <v>6304</v>
      </c>
      <c r="C1045" s="21" t="s">
        <v>5791</v>
      </c>
      <c r="D1045" s="21" t="s">
        <v>33</v>
      </c>
      <c r="E1045" s="21" t="s">
        <v>6305</v>
      </c>
      <c r="F1045" s="21" t="s">
        <v>6306</v>
      </c>
      <c r="G1045" s="21"/>
    </row>
    <row r="1046" ht="15.75" customHeight="1">
      <c r="A1046" s="20" t="s">
        <v>6307</v>
      </c>
      <c r="B1046" s="21" t="s">
        <v>6308</v>
      </c>
      <c r="C1046" s="21" t="s">
        <v>802</v>
      </c>
      <c r="D1046" s="21" t="s">
        <v>33</v>
      </c>
      <c r="E1046" s="21" t="s">
        <v>6309</v>
      </c>
      <c r="F1046" s="21"/>
      <c r="G1046" s="21"/>
    </row>
    <row r="1047" ht="15.75" customHeight="1">
      <c r="A1047" s="20" t="s">
        <v>6310</v>
      </c>
      <c r="B1047" s="21" t="s">
        <v>6308</v>
      </c>
      <c r="C1047" s="21" t="s">
        <v>6213</v>
      </c>
      <c r="D1047" s="21" t="s">
        <v>33</v>
      </c>
      <c r="E1047" s="21" t="s">
        <v>6311</v>
      </c>
      <c r="F1047" s="21" t="s">
        <v>6312</v>
      </c>
      <c r="G1047" s="21"/>
    </row>
    <row r="1048" ht="15.75" customHeight="1">
      <c r="A1048" s="20" t="s">
        <v>6313</v>
      </c>
      <c r="B1048" s="21" t="s">
        <v>6314</v>
      </c>
      <c r="C1048" s="21" t="s">
        <v>6162</v>
      </c>
      <c r="D1048" s="21" t="s">
        <v>33</v>
      </c>
      <c r="E1048" s="21" t="s">
        <v>6315</v>
      </c>
      <c r="F1048" s="21" t="s">
        <v>6316</v>
      </c>
      <c r="G1048" s="21"/>
    </row>
    <row r="1049" ht="15.75" customHeight="1">
      <c r="A1049" s="20" t="s">
        <v>6317</v>
      </c>
      <c r="B1049" s="21" t="s">
        <v>6314</v>
      </c>
      <c r="C1049" s="21" t="s">
        <v>6162</v>
      </c>
      <c r="D1049" s="21" t="s">
        <v>33</v>
      </c>
      <c r="E1049" s="21" t="s">
        <v>6318</v>
      </c>
      <c r="F1049" s="21" t="s">
        <v>6319</v>
      </c>
      <c r="G1049" s="21"/>
    </row>
    <row r="1050" ht="15.75" customHeight="1">
      <c r="A1050" s="20" t="s">
        <v>6320</v>
      </c>
      <c r="B1050" s="21" t="s">
        <v>6314</v>
      </c>
      <c r="C1050" s="21" t="s">
        <v>6162</v>
      </c>
      <c r="D1050" s="21" t="s">
        <v>33</v>
      </c>
      <c r="E1050" s="21" t="s">
        <v>6321</v>
      </c>
      <c r="F1050" s="21" t="s">
        <v>6322</v>
      </c>
      <c r="G1050" s="21"/>
    </row>
    <row r="1051" ht="15.75" customHeight="1">
      <c r="A1051" s="20" t="s">
        <v>6323</v>
      </c>
      <c r="B1051" s="21" t="s">
        <v>6324</v>
      </c>
      <c r="C1051" s="21" t="s">
        <v>6325</v>
      </c>
      <c r="D1051" s="21" t="s">
        <v>33</v>
      </c>
      <c r="E1051" s="21" t="s">
        <v>6326</v>
      </c>
      <c r="F1051" s="21" t="s">
        <v>6327</v>
      </c>
      <c r="G1051" s="21"/>
    </row>
    <row r="1052" ht="15.75" customHeight="1">
      <c r="A1052" s="20" t="s">
        <v>4452</v>
      </c>
      <c r="B1052" s="21" t="s">
        <v>6324</v>
      </c>
      <c r="C1052" s="21" t="s">
        <v>6325</v>
      </c>
      <c r="D1052" s="21" t="s">
        <v>33</v>
      </c>
      <c r="E1052" s="21" t="s">
        <v>6328</v>
      </c>
      <c r="F1052" s="21" t="s">
        <v>6329</v>
      </c>
      <c r="G1052" s="21"/>
    </row>
    <row r="1053" ht="15.75" customHeight="1">
      <c r="A1053" s="20" t="s">
        <v>6330</v>
      </c>
      <c r="B1053" s="21" t="s">
        <v>6324</v>
      </c>
      <c r="C1053" s="21" t="s">
        <v>6331</v>
      </c>
      <c r="D1053" s="21" t="s">
        <v>33</v>
      </c>
      <c r="E1053" s="21" t="s">
        <v>6332</v>
      </c>
      <c r="F1053" s="21" t="s">
        <v>6333</v>
      </c>
      <c r="G1053" s="21"/>
    </row>
    <row r="1054" ht="15.75" customHeight="1">
      <c r="A1054" s="20" t="s">
        <v>6334</v>
      </c>
      <c r="B1054" s="21" t="s">
        <v>6324</v>
      </c>
      <c r="C1054" s="21" t="s">
        <v>6335</v>
      </c>
      <c r="D1054" s="21" t="s">
        <v>33</v>
      </c>
      <c r="E1054" s="21" t="s">
        <v>6336</v>
      </c>
      <c r="F1054" s="21" t="s">
        <v>6337</v>
      </c>
      <c r="G1054" s="21"/>
    </row>
    <row r="1055" ht="15.75" customHeight="1">
      <c r="A1055" s="20" t="s">
        <v>6338</v>
      </c>
      <c r="B1055" s="21" t="s">
        <v>6324</v>
      </c>
      <c r="C1055" s="21" t="s">
        <v>6325</v>
      </c>
      <c r="D1055" s="21" t="s">
        <v>33</v>
      </c>
      <c r="E1055" s="21" t="s">
        <v>6339</v>
      </c>
      <c r="F1055" s="21" t="s">
        <v>6340</v>
      </c>
      <c r="G1055" s="21"/>
    </row>
    <row r="1056" ht="15.75" customHeight="1">
      <c r="A1056" s="20" t="s">
        <v>6341</v>
      </c>
      <c r="B1056" s="21" t="s">
        <v>6342</v>
      </c>
      <c r="C1056" s="21" t="s">
        <v>1263</v>
      </c>
      <c r="D1056" s="21" t="s">
        <v>33</v>
      </c>
      <c r="E1056" s="21" t="s">
        <v>6343</v>
      </c>
      <c r="F1056" s="21" t="s">
        <v>6344</v>
      </c>
      <c r="G1056" s="21"/>
    </row>
    <row r="1057" ht="15.75" customHeight="1">
      <c r="A1057" s="20" t="s">
        <v>6345</v>
      </c>
      <c r="B1057" s="21" t="s">
        <v>1031</v>
      </c>
      <c r="C1057" s="21" t="s">
        <v>6346</v>
      </c>
      <c r="D1057" s="21" t="s">
        <v>33</v>
      </c>
      <c r="E1057" s="21" t="s">
        <v>6347</v>
      </c>
      <c r="F1057" s="21"/>
      <c r="G1057" s="21"/>
    </row>
    <row r="1058" ht="15.75" customHeight="1">
      <c r="A1058" s="20" t="s">
        <v>6348</v>
      </c>
      <c r="B1058" s="21" t="s">
        <v>1031</v>
      </c>
      <c r="C1058" s="21" t="s">
        <v>6346</v>
      </c>
      <c r="D1058" s="21" t="s">
        <v>33</v>
      </c>
      <c r="E1058" s="21" t="s">
        <v>6349</v>
      </c>
      <c r="F1058" s="21" t="s">
        <v>6350</v>
      </c>
      <c r="G1058" s="21"/>
    </row>
    <row r="1059" ht="15.75" customHeight="1">
      <c r="A1059" s="20" t="s">
        <v>6351</v>
      </c>
      <c r="B1059" s="21" t="s">
        <v>1031</v>
      </c>
      <c r="C1059" s="21" t="s">
        <v>1033</v>
      </c>
      <c r="D1059" s="21" t="s">
        <v>33</v>
      </c>
      <c r="E1059" s="21" t="s">
        <v>6352</v>
      </c>
      <c r="F1059" s="21"/>
      <c r="G1059" s="21"/>
    </row>
    <row r="1060" ht="15.75" customHeight="1">
      <c r="A1060" s="20" t="s">
        <v>6353</v>
      </c>
      <c r="B1060" s="21" t="s">
        <v>1031</v>
      </c>
      <c r="C1060" s="21" t="s">
        <v>6346</v>
      </c>
      <c r="D1060" s="21" t="s">
        <v>33</v>
      </c>
      <c r="E1060" s="21" t="s">
        <v>6354</v>
      </c>
      <c r="F1060" s="21"/>
      <c r="G1060" s="21"/>
    </row>
    <row r="1061" ht="15.75" customHeight="1">
      <c r="A1061" s="20" t="s">
        <v>6355</v>
      </c>
      <c r="B1061" s="21" t="s">
        <v>1031</v>
      </c>
      <c r="C1061" s="21" t="s">
        <v>6346</v>
      </c>
      <c r="D1061" s="21" t="s">
        <v>33</v>
      </c>
      <c r="E1061" s="21" t="s">
        <v>6356</v>
      </c>
      <c r="F1061" s="21" t="s">
        <v>6357</v>
      </c>
      <c r="G1061" s="21"/>
    </row>
    <row r="1062" ht="15.75" customHeight="1">
      <c r="A1062" s="20" t="s">
        <v>6358</v>
      </c>
      <c r="B1062" s="21" t="s">
        <v>1031</v>
      </c>
      <c r="C1062" s="21" t="s">
        <v>1033</v>
      </c>
      <c r="D1062" s="21" t="s">
        <v>33</v>
      </c>
      <c r="E1062" s="21" t="s">
        <v>6359</v>
      </c>
      <c r="F1062" s="21" t="s">
        <v>6360</v>
      </c>
      <c r="G1062" s="21"/>
    </row>
    <row r="1063" ht="15.75" customHeight="1">
      <c r="A1063" s="20" t="s">
        <v>6361</v>
      </c>
      <c r="B1063" s="21" t="s">
        <v>1031</v>
      </c>
      <c r="C1063" s="21" t="s">
        <v>1033</v>
      </c>
      <c r="D1063" s="21" t="s">
        <v>33</v>
      </c>
      <c r="E1063" s="21" t="s">
        <v>6362</v>
      </c>
      <c r="F1063" s="21" t="s">
        <v>6363</v>
      </c>
      <c r="G1063" s="21"/>
    </row>
    <row r="1064" ht="15.75" customHeight="1">
      <c r="A1064" s="20" t="s">
        <v>6364</v>
      </c>
      <c r="B1064" s="21" t="s">
        <v>1031</v>
      </c>
      <c r="C1064" s="21" t="s">
        <v>1183</v>
      </c>
      <c r="D1064" s="21" t="s">
        <v>33</v>
      </c>
      <c r="E1064" s="21" t="s">
        <v>6365</v>
      </c>
      <c r="F1064" s="21" t="s">
        <v>6366</v>
      </c>
      <c r="G1064" s="21"/>
    </row>
    <row r="1065" ht="15.75" customHeight="1">
      <c r="A1065" s="20" t="s">
        <v>6367</v>
      </c>
      <c r="B1065" s="21" t="s">
        <v>1031</v>
      </c>
      <c r="C1065" s="21" t="s">
        <v>1033</v>
      </c>
      <c r="D1065" s="21" t="s">
        <v>33</v>
      </c>
      <c r="E1065" s="21" t="s">
        <v>6368</v>
      </c>
      <c r="F1065" s="21" t="s">
        <v>6369</v>
      </c>
      <c r="G1065" s="21"/>
    </row>
    <row r="1066" ht="15.75" customHeight="1">
      <c r="A1066" s="20" t="s">
        <v>6370</v>
      </c>
      <c r="B1066" s="21" t="s">
        <v>1031</v>
      </c>
      <c r="C1066" s="21" t="s">
        <v>6371</v>
      </c>
      <c r="D1066" s="21" t="s">
        <v>33</v>
      </c>
      <c r="E1066" s="21" t="s">
        <v>6372</v>
      </c>
      <c r="F1066" s="21" t="s">
        <v>6373</v>
      </c>
      <c r="G1066" s="21"/>
    </row>
    <row r="1067" ht="15.75" customHeight="1">
      <c r="A1067" s="20" t="s">
        <v>6374</v>
      </c>
      <c r="B1067" s="21" t="s">
        <v>6375</v>
      </c>
      <c r="C1067" s="21" t="s">
        <v>6268</v>
      </c>
      <c r="D1067" s="21" t="s">
        <v>33</v>
      </c>
      <c r="E1067" s="21" t="s">
        <v>6376</v>
      </c>
      <c r="F1067" s="21" t="s">
        <v>6377</v>
      </c>
      <c r="G1067" s="21"/>
    </row>
    <row r="1068" ht="15.75" customHeight="1">
      <c r="A1068" s="20" t="s">
        <v>6378</v>
      </c>
      <c r="B1068" s="21" t="s">
        <v>6375</v>
      </c>
      <c r="C1068" s="21" t="s">
        <v>6268</v>
      </c>
      <c r="D1068" s="21" t="s">
        <v>33</v>
      </c>
      <c r="E1068" s="21" t="s">
        <v>6379</v>
      </c>
      <c r="F1068" s="21" t="s">
        <v>6380</v>
      </c>
      <c r="G1068" s="21"/>
    </row>
    <row r="1069" ht="15.75" customHeight="1">
      <c r="A1069" s="20" t="s">
        <v>6381</v>
      </c>
      <c r="B1069" s="21" t="s">
        <v>6382</v>
      </c>
      <c r="C1069" s="21" t="s">
        <v>6383</v>
      </c>
      <c r="D1069" s="21" t="s">
        <v>33</v>
      </c>
      <c r="E1069" s="21" t="s">
        <v>6384</v>
      </c>
      <c r="F1069" s="21"/>
      <c r="G1069" s="21"/>
    </row>
    <row r="1070" ht="15.75" customHeight="1">
      <c r="A1070" s="20" t="s">
        <v>6385</v>
      </c>
      <c r="B1070" s="21" t="s">
        <v>6382</v>
      </c>
      <c r="C1070" s="21" t="s">
        <v>6383</v>
      </c>
      <c r="D1070" s="21" t="s">
        <v>33</v>
      </c>
      <c r="E1070" s="21" t="s">
        <v>6386</v>
      </c>
      <c r="F1070" s="21" t="s">
        <v>6387</v>
      </c>
      <c r="G1070" s="21"/>
    </row>
    <row r="1071" ht="15.75" customHeight="1">
      <c r="A1071" s="20" t="s">
        <v>6388</v>
      </c>
      <c r="B1071" s="21" t="s">
        <v>6382</v>
      </c>
      <c r="C1071" s="21" t="s">
        <v>6383</v>
      </c>
      <c r="D1071" s="21" t="s">
        <v>33</v>
      </c>
      <c r="E1071" s="21" t="s">
        <v>6389</v>
      </c>
      <c r="F1071" s="21" t="s">
        <v>6390</v>
      </c>
      <c r="G1071" s="21"/>
    </row>
    <row r="1072" ht="15.75" customHeight="1">
      <c r="A1072" s="20" t="s">
        <v>6391</v>
      </c>
      <c r="B1072" s="21" t="s">
        <v>6392</v>
      </c>
      <c r="C1072" s="21" t="s">
        <v>1246</v>
      </c>
      <c r="D1072" s="21" t="s">
        <v>33</v>
      </c>
      <c r="E1072" s="21" t="s">
        <v>6393</v>
      </c>
      <c r="F1072" s="21"/>
      <c r="G1072" s="21"/>
    </row>
    <row r="1073" ht="15.75" customHeight="1">
      <c r="A1073" s="20" t="s">
        <v>6394</v>
      </c>
      <c r="B1073" s="21" t="s">
        <v>5528</v>
      </c>
      <c r="C1073" s="21" t="s">
        <v>986</v>
      </c>
      <c r="D1073" s="21" t="s">
        <v>33</v>
      </c>
      <c r="E1073" s="21" t="s">
        <v>6395</v>
      </c>
      <c r="F1073" s="21" t="s">
        <v>6396</v>
      </c>
      <c r="G1073" s="21"/>
    </row>
    <row r="1074" ht="15.75" customHeight="1">
      <c r="A1074" s="20" t="s">
        <v>6397</v>
      </c>
      <c r="B1074" s="21" t="s">
        <v>5528</v>
      </c>
      <c r="C1074" s="21" t="s">
        <v>986</v>
      </c>
      <c r="D1074" s="21" t="s">
        <v>33</v>
      </c>
      <c r="E1074" s="21" t="s">
        <v>6398</v>
      </c>
      <c r="F1074" s="21" t="s">
        <v>6399</v>
      </c>
      <c r="G1074" s="21"/>
    </row>
    <row r="1075" ht="15.75" customHeight="1">
      <c r="A1075" s="20" t="s">
        <v>6400</v>
      </c>
      <c r="B1075" s="21" t="s">
        <v>5528</v>
      </c>
      <c r="C1075" s="21" t="s">
        <v>986</v>
      </c>
      <c r="D1075" s="21" t="s">
        <v>33</v>
      </c>
      <c r="E1075" s="21" t="s">
        <v>6401</v>
      </c>
      <c r="F1075" s="21" t="s">
        <v>6402</v>
      </c>
      <c r="G1075" s="21"/>
    </row>
    <row r="1076" ht="15.75" customHeight="1">
      <c r="A1076" s="20" t="s">
        <v>6403</v>
      </c>
      <c r="B1076" s="21" t="s">
        <v>5528</v>
      </c>
      <c r="C1076" s="21" t="s">
        <v>986</v>
      </c>
      <c r="D1076" s="21" t="s">
        <v>33</v>
      </c>
      <c r="E1076" s="21" t="s">
        <v>6404</v>
      </c>
      <c r="F1076" s="21" t="s">
        <v>6405</v>
      </c>
      <c r="G1076" s="21"/>
    </row>
    <row r="1077" ht="15.75" customHeight="1">
      <c r="A1077" s="20" t="s">
        <v>6406</v>
      </c>
      <c r="B1077" s="21" t="s">
        <v>5528</v>
      </c>
      <c r="C1077" s="21" t="s">
        <v>986</v>
      </c>
      <c r="D1077" s="21" t="s">
        <v>33</v>
      </c>
      <c r="E1077" s="21" t="s">
        <v>6407</v>
      </c>
      <c r="F1077" s="21" t="s">
        <v>6408</v>
      </c>
      <c r="G1077" s="21"/>
    </row>
    <row r="1078" ht="15.75" customHeight="1">
      <c r="A1078" s="20" t="s">
        <v>6409</v>
      </c>
      <c r="B1078" s="21" t="s">
        <v>5528</v>
      </c>
      <c r="C1078" s="21" t="s">
        <v>986</v>
      </c>
      <c r="D1078" s="21" t="s">
        <v>33</v>
      </c>
      <c r="E1078" s="21" t="s">
        <v>6410</v>
      </c>
      <c r="F1078" s="21" t="s">
        <v>6411</v>
      </c>
      <c r="G1078" s="21"/>
    </row>
    <row r="1079" ht="15.75" customHeight="1">
      <c r="A1079" s="20" t="s">
        <v>6412</v>
      </c>
      <c r="B1079" s="21" t="s">
        <v>5528</v>
      </c>
      <c r="C1079" s="21" t="s">
        <v>986</v>
      </c>
      <c r="D1079" s="21" t="s">
        <v>33</v>
      </c>
      <c r="E1079" s="21" t="s">
        <v>6413</v>
      </c>
      <c r="F1079" s="21" t="s">
        <v>6414</v>
      </c>
      <c r="G1079" s="21"/>
    </row>
    <row r="1080" ht="15.75" customHeight="1">
      <c r="A1080" s="20" t="s">
        <v>6415</v>
      </c>
      <c r="B1080" s="21" t="s">
        <v>5528</v>
      </c>
      <c r="C1080" s="21" t="s">
        <v>986</v>
      </c>
      <c r="D1080" s="21" t="s">
        <v>33</v>
      </c>
      <c r="E1080" s="21" t="s">
        <v>6416</v>
      </c>
      <c r="F1080" s="21" t="s">
        <v>6417</v>
      </c>
      <c r="G1080" s="21"/>
    </row>
    <row r="1081" ht="15.75" customHeight="1">
      <c r="A1081" s="20" t="s">
        <v>6418</v>
      </c>
      <c r="B1081" s="21" t="s">
        <v>1046</v>
      </c>
      <c r="C1081" s="21" t="s">
        <v>1050</v>
      </c>
      <c r="D1081" s="21" t="s">
        <v>33</v>
      </c>
      <c r="E1081" s="21" t="s">
        <v>6419</v>
      </c>
      <c r="F1081" s="21"/>
      <c r="G1081" s="21"/>
    </row>
    <row r="1082" ht="15.75" customHeight="1">
      <c r="A1082" s="20" t="s">
        <v>6420</v>
      </c>
      <c r="B1082" s="21" t="s">
        <v>1067</v>
      </c>
      <c r="C1082" s="21" t="s">
        <v>1068</v>
      </c>
      <c r="D1082" s="21" t="s">
        <v>33</v>
      </c>
      <c r="E1082" s="21" t="s">
        <v>6421</v>
      </c>
      <c r="F1082" s="21"/>
      <c r="G1082" s="21"/>
    </row>
    <row r="1083" ht="15.75" customHeight="1">
      <c r="A1083" s="20" t="s">
        <v>6422</v>
      </c>
      <c r="B1083" s="21" t="s">
        <v>1067</v>
      </c>
      <c r="C1083" s="21" t="s">
        <v>6423</v>
      </c>
      <c r="D1083" s="21" t="s">
        <v>33</v>
      </c>
      <c r="E1083" s="21" t="s">
        <v>6424</v>
      </c>
      <c r="F1083" s="21"/>
      <c r="G1083" s="21"/>
    </row>
    <row r="1084" ht="15.75" customHeight="1">
      <c r="A1084" s="20" t="s">
        <v>6425</v>
      </c>
      <c r="B1084" s="21" t="s">
        <v>1067</v>
      </c>
      <c r="C1084" s="21" t="s">
        <v>1068</v>
      </c>
      <c r="D1084" s="21" t="s">
        <v>33</v>
      </c>
      <c r="E1084" s="21" t="s">
        <v>6426</v>
      </c>
      <c r="F1084" s="21" t="s">
        <v>6427</v>
      </c>
      <c r="G1084" s="21"/>
    </row>
    <row r="1085" ht="15.75" customHeight="1">
      <c r="A1085" s="20" t="s">
        <v>6428</v>
      </c>
      <c r="B1085" s="21" t="s">
        <v>1067</v>
      </c>
      <c r="C1085" s="21" t="s">
        <v>1068</v>
      </c>
      <c r="D1085" s="21" t="s">
        <v>33</v>
      </c>
      <c r="E1085" s="21" t="s">
        <v>6429</v>
      </c>
      <c r="F1085" s="21" t="s">
        <v>6430</v>
      </c>
      <c r="G1085" s="21"/>
    </row>
    <row r="1086" ht="15.75" customHeight="1">
      <c r="A1086" s="20" t="s">
        <v>6431</v>
      </c>
      <c r="B1086" s="21" t="s">
        <v>1067</v>
      </c>
      <c r="C1086" s="21" t="s">
        <v>6423</v>
      </c>
      <c r="D1086" s="21" t="s">
        <v>33</v>
      </c>
      <c r="E1086" s="21" t="s">
        <v>6432</v>
      </c>
      <c r="F1086" s="21" t="s">
        <v>6433</v>
      </c>
      <c r="G1086" s="21"/>
    </row>
    <row r="1087" ht="15.75" customHeight="1">
      <c r="A1087" s="20" t="s">
        <v>6434</v>
      </c>
      <c r="B1087" s="21" t="s">
        <v>1067</v>
      </c>
      <c r="C1087" s="21" t="s">
        <v>1068</v>
      </c>
      <c r="D1087" s="21" t="s">
        <v>33</v>
      </c>
      <c r="E1087" s="21" t="s">
        <v>6435</v>
      </c>
      <c r="F1087" s="21" t="s">
        <v>6436</v>
      </c>
      <c r="G1087" s="21"/>
    </row>
    <row r="1088" ht="15.75" customHeight="1">
      <c r="A1088" s="20" t="s">
        <v>6437</v>
      </c>
      <c r="B1088" s="21" t="s">
        <v>2432</v>
      </c>
      <c r="C1088" s="21" t="s">
        <v>1251</v>
      </c>
      <c r="D1088" s="21" t="s">
        <v>33</v>
      </c>
      <c r="E1088" s="21" t="s">
        <v>6438</v>
      </c>
      <c r="F1088" s="21" t="s">
        <v>6439</v>
      </c>
      <c r="G1088" s="21"/>
    </row>
    <row r="1089" ht="15.75" customHeight="1">
      <c r="A1089" s="20" t="s">
        <v>6440</v>
      </c>
      <c r="B1089" s="21" t="s">
        <v>2432</v>
      </c>
      <c r="C1089" s="21" t="s">
        <v>1251</v>
      </c>
      <c r="D1089" s="21" t="s">
        <v>33</v>
      </c>
      <c r="E1089" s="21" t="s">
        <v>6441</v>
      </c>
      <c r="F1089" s="21" t="s">
        <v>6442</v>
      </c>
      <c r="G1089" s="21"/>
    </row>
    <row r="1090" ht="15.75" customHeight="1">
      <c r="A1090" s="20" t="s">
        <v>6443</v>
      </c>
      <c r="B1090" s="21" t="s">
        <v>2432</v>
      </c>
      <c r="C1090" s="21" t="s">
        <v>1251</v>
      </c>
      <c r="D1090" s="21" t="s">
        <v>33</v>
      </c>
      <c r="E1090" s="21" t="s">
        <v>6444</v>
      </c>
      <c r="F1090" s="21" t="s">
        <v>6445</v>
      </c>
      <c r="G1090" s="21"/>
    </row>
    <row r="1091" ht="15.75" customHeight="1">
      <c r="A1091" s="20" t="s">
        <v>6446</v>
      </c>
      <c r="B1091" s="21" t="s">
        <v>2432</v>
      </c>
      <c r="C1091" s="21" t="s">
        <v>1251</v>
      </c>
      <c r="D1091" s="21" t="s">
        <v>33</v>
      </c>
      <c r="E1091" s="21" t="s">
        <v>6447</v>
      </c>
      <c r="F1091" s="21" t="s">
        <v>6448</v>
      </c>
      <c r="G1091" s="21"/>
    </row>
    <row r="1092" ht="15.75" customHeight="1">
      <c r="A1092" s="20" t="s">
        <v>6449</v>
      </c>
      <c r="B1092" s="21" t="s">
        <v>2432</v>
      </c>
      <c r="C1092" s="21" t="s">
        <v>1251</v>
      </c>
      <c r="D1092" s="21" t="s">
        <v>33</v>
      </c>
      <c r="E1092" s="21" t="s">
        <v>6450</v>
      </c>
      <c r="F1092" s="21" t="s">
        <v>6451</v>
      </c>
      <c r="G1092" s="21"/>
    </row>
    <row r="1093" ht="15.75" customHeight="1">
      <c r="A1093" s="20" t="s">
        <v>6452</v>
      </c>
      <c r="B1093" s="21" t="s">
        <v>2432</v>
      </c>
      <c r="C1093" s="21" t="s">
        <v>1251</v>
      </c>
      <c r="D1093" s="21" t="s">
        <v>33</v>
      </c>
      <c r="E1093" s="21" t="s">
        <v>6453</v>
      </c>
      <c r="F1093" s="21" t="s">
        <v>6454</v>
      </c>
      <c r="G1093" s="21"/>
    </row>
    <row r="1094" ht="15.75" customHeight="1">
      <c r="A1094" s="20" t="s">
        <v>6455</v>
      </c>
      <c r="B1094" s="21" t="s">
        <v>2432</v>
      </c>
      <c r="C1094" s="21" t="s">
        <v>1251</v>
      </c>
      <c r="D1094" s="21" t="s">
        <v>33</v>
      </c>
      <c r="E1094" s="21" t="s">
        <v>6456</v>
      </c>
      <c r="F1094" s="21" t="s">
        <v>6457</v>
      </c>
      <c r="G1094" s="21"/>
    </row>
    <row r="1095" ht="15.75" customHeight="1">
      <c r="A1095" s="20" t="s">
        <v>6458</v>
      </c>
      <c r="B1095" s="21" t="s">
        <v>6459</v>
      </c>
      <c r="C1095" s="21" t="s">
        <v>6460</v>
      </c>
      <c r="D1095" s="21" t="s">
        <v>33</v>
      </c>
      <c r="E1095" s="21" t="s">
        <v>6461</v>
      </c>
      <c r="F1095" s="21" t="s">
        <v>6462</v>
      </c>
      <c r="G1095" s="21"/>
    </row>
    <row r="1096" ht="15.75" customHeight="1">
      <c r="A1096" s="20" t="s">
        <v>6463</v>
      </c>
      <c r="B1096" s="21" t="s">
        <v>6464</v>
      </c>
      <c r="C1096" s="21" t="s">
        <v>5533</v>
      </c>
      <c r="D1096" s="21" t="s">
        <v>33</v>
      </c>
      <c r="E1096" s="21" t="s">
        <v>6465</v>
      </c>
      <c r="F1096" s="21" t="s">
        <v>6466</v>
      </c>
      <c r="G1096" s="21"/>
    </row>
    <row r="1097" ht="15.75" customHeight="1">
      <c r="A1097" s="20" t="s">
        <v>6467</v>
      </c>
      <c r="B1097" s="21" t="s">
        <v>6468</v>
      </c>
      <c r="C1097" s="21" t="s">
        <v>6469</v>
      </c>
      <c r="D1097" s="21" t="s">
        <v>33</v>
      </c>
      <c r="E1097" s="21" t="s">
        <v>6470</v>
      </c>
      <c r="F1097" s="21" t="s">
        <v>6471</v>
      </c>
      <c r="G1097" s="21"/>
    </row>
    <row r="1098" ht="15.75" customHeight="1">
      <c r="A1098" s="20" t="s">
        <v>6472</v>
      </c>
      <c r="B1098" s="21" t="s">
        <v>6473</v>
      </c>
      <c r="C1098" s="21" t="s">
        <v>5963</v>
      </c>
      <c r="D1098" s="21" t="s">
        <v>33</v>
      </c>
      <c r="E1098" s="21" t="s">
        <v>6474</v>
      </c>
      <c r="F1098" s="21" t="s">
        <v>6475</v>
      </c>
      <c r="G1098" s="21"/>
    </row>
    <row r="1099" ht="15.75" customHeight="1">
      <c r="A1099" s="20" t="s">
        <v>6476</v>
      </c>
      <c r="B1099" s="21" t="s">
        <v>6477</v>
      </c>
      <c r="C1099" s="21" t="s">
        <v>6478</v>
      </c>
      <c r="D1099" s="21" t="s">
        <v>33</v>
      </c>
      <c r="E1099" s="21" t="s">
        <v>6479</v>
      </c>
      <c r="F1099" s="21" t="s">
        <v>6480</v>
      </c>
      <c r="G1099" s="21"/>
    </row>
    <row r="1100" ht="15.75" customHeight="1">
      <c r="A1100" s="20" t="s">
        <v>6481</v>
      </c>
      <c r="B1100" s="21" t="s">
        <v>6482</v>
      </c>
      <c r="C1100" s="21" t="s">
        <v>6478</v>
      </c>
      <c r="D1100" s="21" t="s">
        <v>33</v>
      </c>
      <c r="E1100" s="21" t="s">
        <v>6483</v>
      </c>
      <c r="F1100" s="21" t="s">
        <v>6484</v>
      </c>
      <c r="G1100" s="21"/>
    </row>
    <row r="1101" ht="15.75" customHeight="1">
      <c r="A1101" s="20" t="s">
        <v>6485</v>
      </c>
      <c r="B1101" s="21" t="s">
        <v>6482</v>
      </c>
      <c r="C1101" s="21" t="s">
        <v>6486</v>
      </c>
      <c r="D1101" s="21" t="s">
        <v>33</v>
      </c>
      <c r="E1101" s="21" t="s">
        <v>6487</v>
      </c>
      <c r="F1101" s="21" t="s">
        <v>6488</v>
      </c>
      <c r="G1101" s="21"/>
    </row>
    <row r="1102" ht="15.75" customHeight="1">
      <c r="A1102" s="20" t="s">
        <v>6489</v>
      </c>
      <c r="B1102" s="21" t="s">
        <v>6490</v>
      </c>
      <c r="C1102" s="21" t="s">
        <v>6423</v>
      </c>
      <c r="D1102" s="21" t="s">
        <v>33</v>
      </c>
      <c r="E1102" s="21" t="s">
        <v>6491</v>
      </c>
      <c r="F1102" s="21" t="s">
        <v>6492</v>
      </c>
      <c r="G1102" s="21"/>
    </row>
    <row r="1103" ht="15.75" customHeight="1">
      <c r="A1103" s="20" t="s">
        <v>6493</v>
      </c>
      <c r="B1103" s="21" t="s">
        <v>6490</v>
      </c>
      <c r="C1103" s="21" t="s">
        <v>6494</v>
      </c>
      <c r="D1103" s="21" t="s">
        <v>33</v>
      </c>
      <c r="E1103" s="21" t="s">
        <v>6495</v>
      </c>
      <c r="F1103" s="21"/>
      <c r="G1103" s="21"/>
    </row>
    <row r="1104" ht="15.75" customHeight="1">
      <c r="A1104" s="20" t="s">
        <v>6496</v>
      </c>
      <c r="B1104" s="21" t="s">
        <v>6490</v>
      </c>
      <c r="C1104" s="21" t="s">
        <v>6423</v>
      </c>
      <c r="D1104" s="21" t="s">
        <v>33</v>
      </c>
      <c r="E1104" s="21" t="s">
        <v>6497</v>
      </c>
      <c r="F1104" s="21" t="s">
        <v>6498</v>
      </c>
      <c r="G1104" s="21"/>
    </row>
    <row r="1105" ht="15.75" customHeight="1">
      <c r="A1105" s="20" t="s">
        <v>6499</v>
      </c>
      <c r="B1105" s="21" t="s">
        <v>6500</v>
      </c>
      <c r="C1105" s="21" t="s">
        <v>1251</v>
      </c>
      <c r="D1105" s="21" t="s">
        <v>33</v>
      </c>
      <c r="E1105" s="21" t="s">
        <v>6501</v>
      </c>
      <c r="F1105" s="21" t="s">
        <v>6502</v>
      </c>
      <c r="G1105" s="21"/>
    </row>
    <row r="1106" ht="15.75" customHeight="1">
      <c r="A1106" s="20" t="s">
        <v>6503</v>
      </c>
      <c r="B1106" s="21" t="s">
        <v>6504</v>
      </c>
      <c r="C1106" s="21" t="s">
        <v>6486</v>
      </c>
      <c r="D1106" s="21" t="s">
        <v>33</v>
      </c>
      <c r="E1106" s="21" t="s">
        <v>6505</v>
      </c>
      <c r="F1106" s="21" t="s">
        <v>6506</v>
      </c>
      <c r="G1106" s="21"/>
    </row>
    <row r="1107" ht="15.75" customHeight="1">
      <c r="A1107" s="20" t="s">
        <v>6507</v>
      </c>
      <c r="B1107" s="21" t="s">
        <v>6508</v>
      </c>
      <c r="C1107" s="21" t="s">
        <v>1263</v>
      </c>
      <c r="D1107" s="21" t="s">
        <v>33</v>
      </c>
      <c r="E1107" s="21" t="s">
        <v>6509</v>
      </c>
      <c r="F1107" s="21" t="s">
        <v>6510</v>
      </c>
      <c r="G1107" s="21"/>
    </row>
    <row r="1108" ht="15.75" customHeight="1">
      <c r="A1108" s="20" t="s">
        <v>6511</v>
      </c>
      <c r="B1108" s="21" t="s">
        <v>6508</v>
      </c>
      <c r="C1108" s="21" t="s">
        <v>1263</v>
      </c>
      <c r="D1108" s="21" t="s">
        <v>33</v>
      </c>
      <c r="E1108" s="21" t="s">
        <v>6512</v>
      </c>
      <c r="F1108" s="21" t="s">
        <v>6513</v>
      </c>
      <c r="G1108" s="21"/>
    </row>
    <row r="1109" ht="15.75" customHeight="1">
      <c r="A1109" s="20" t="s">
        <v>6514</v>
      </c>
      <c r="B1109" s="21" t="s">
        <v>6515</v>
      </c>
      <c r="C1109" s="21" t="s">
        <v>1119</v>
      </c>
      <c r="D1109" s="21" t="s">
        <v>33</v>
      </c>
      <c r="E1109" s="21" t="s">
        <v>6516</v>
      </c>
      <c r="F1109" s="21"/>
      <c r="G1109" s="21"/>
    </row>
    <row r="1110" ht="15.75" customHeight="1">
      <c r="A1110" s="20" t="s">
        <v>6517</v>
      </c>
      <c r="B1110" s="21" t="s">
        <v>6518</v>
      </c>
      <c r="C1110" s="21" t="s">
        <v>5888</v>
      </c>
      <c r="D1110" s="21" t="s">
        <v>33</v>
      </c>
      <c r="E1110" s="21" t="s">
        <v>6519</v>
      </c>
      <c r="F1110" s="21" t="s">
        <v>6520</v>
      </c>
      <c r="G1110" s="21"/>
    </row>
    <row r="1111" ht="15.75" customHeight="1">
      <c r="A1111" s="20" t="s">
        <v>6521</v>
      </c>
      <c r="B1111" s="21" t="s">
        <v>6522</v>
      </c>
      <c r="C1111" s="21" t="s">
        <v>6257</v>
      </c>
      <c r="D1111" s="21" t="s">
        <v>33</v>
      </c>
      <c r="E1111" s="21" t="s">
        <v>6523</v>
      </c>
      <c r="F1111" s="21" t="s">
        <v>6524</v>
      </c>
      <c r="G1111" s="21"/>
    </row>
    <row r="1112" ht="15.75" customHeight="1">
      <c r="A1112" s="20" t="s">
        <v>6525</v>
      </c>
      <c r="B1112" s="21" t="s">
        <v>6526</v>
      </c>
      <c r="C1112" s="21" t="s">
        <v>6234</v>
      </c>
      <c r="D1112" s="21" t="s">
        <v>33</v>
      </c>
      <c r="E1112" s="21" t="s">
        <v>6527</v>
      </c>
      <c r="F1112" s="21" t="s">
        <v>6528</v>
      </c>
      <c r="G1112" s="21"/>
    </row>
    <row r="1113" ht="15.75" customHeight="1">
      <c r="A1113" s="20" t="s">
        <v>6529</v>
      </c>
      <c r="B1113" s="21" t="s">
        <v>6530</v>
      </c>
      <c r="C1113" s="21" t="s">
        <v>6325</v>
      </c>
      <c r="D1113" s="21" t="s">
        <v>33</v>
      </c>
      <c r="E1113" s="21" t="s">
        <v>6531</v>
      </c>
      <c r="F1113" s="21"/>
      <c r="G1113" s="21"/>
    </row>
    <row r="1114" ht="15.75" customHeight="1">
      <c r="A1114" s="20" t="s">
        <v>6532</v>
      </c>
      <c r="B1114" s="21" t="s">
        <v>6533</v>
      </c>
      <c r="C1114" s="21" t="s">
        <v>6286</v>
      </c>
      <c r="D1114" s="21" t="s">
        <v>33</v>
      </c>
      <c r="E1114" s="21" t="s">
        <v>6534</v>
      </c>
      <c r="F1114" s="21" t="s">
        <v>6535</v>
      </c>
      <c r="G1114" s="21"/>
    </row>
    <row r="1115" ht="15.75" customHeight="1">
      <c r="A1115" s="20" t="s">
        <v>6536</v>
      </c>
      <c r="B1115" s="21" t="s">
        <v>6533</v>
      </c>
      <c r="C1115" s="21" t="s">
        <v>6286</v>
      </c>
      <c r="D1115" s="21" t="s">
        <v>33</v>
      </c>
      <c r="E1115" s="21" t="s">
        <v>6537</v>
      </c>
      <c r="F1115" s="21" t="s">
        <v>6538</v>
      </c>
      <c r="G1115" s="21"/>
    </row>
    <row r="1116" ht="15.75" customHeight="1">
      <c r="A1116" s="20" t="s">
        <v>6539</v>
      </c>
      <c r="B1116" s="21" t="s">
        <v>6533</v>
      </c>
      <c r="C1116" s="21" t="s">
        <v>6286</v>
      </c>
      <c r="D1116" s="21" t="s">
        <v>33</v>
      </c>
      <c r="E1116" s="21" t="s">
        <v>6540</v>
      </c>
      <c r="F1116" s="21" t="s">
        <v>6541</v>
      </c>
      <c r="G1116" s="21"/>
    </row>
    <row r="1117" ht="15.75" customHeight="1">
      <c r="A1117" s="20" t="s">
        <v>6542</v>
      </c>
      <c r="B1117" s="21" t="s">
        <v>6533</v>
      </c>
      <c r="C1117" s="21" t="s">
        <v>6286</v>
      </c>
      <c r="D1117" s="21" t="s">
        <v>33</v>
      </c>
      <c r="E1117" s="21" t="s">
        <v>6543</v>
      </c>
      <c r="F1117" s="21" t="s">
        <v>6544</v>
      </c>
      <c r="G1117" s="21"/>
    </row>
    <row r="1118" ht="15.75" customHeight="1">
      <c r="A1118" s="20" t="s">
        <v>6545</v>
      </c>
      <c r="B1118" s="21" t="s">
        <v>1136</v>
      </c>
      <c r="C1118" s="21" t="s">
        <v>1095</v>
      </c>
      <c r="D1118" s="21" t="s">
        <v>33</v>
      </c>
      <c r="E1118" s="21" t="s">
        <v>6546</v>
      </c>
      <c r="F1118" s="21" t="s">
        <v>6547</v>
      </c>
      <c r="G1118" s="21"/>
    </row>
    <row r="1119" ht="15.75" customHeight="1">
      <c r="A1119" s="20" t="s">
        <v>6548</v>
      </c>
      <c r="B1119" s="21" t="s">
        <v>1136</v>
      </c>
      <c r="C1119" s="21" t="s">
        <v>1095</v>
      </c>
      <c r="D1119" s="21" t="s">
        <v>33</v>
      </c>
      <c r="E1119" s="21" t="s">
        <v>6549</v>
      </c>
      <c r="F1119" s="21" t="s">
        <v>6550</v>
      </c>
      <c r="G1119" s="21"/>
    </row>
    <row r="1120" ht="15.75" customHeight="1">
      <c r="A1120" s="20" t="s">
        <v>6551</v>
      </c>
      <c r="B1120" s="21" t="s">
        <v>1136</v>
      </c>
      <c r="C1120" s="21" t="s">
        <v>1095</v>
      </c>
      <c r="D1120" s="21" t="s">
        <v>33</v>
      </c>
      <c r="E1120" s="21" t="s">
        <v>6552</v>
      </c>
      <c r="F1120" s="21" t="s">
        <v>6553</v>
      </c>
      <c r="G1120" s="21"/>
    </row>
    <row r="1121" ht="15.75" customHeight="1">
      <c r="A1121" s="20" t="s">
        <v>6554</v>
      </c>
      <c r="B1121" s="21" t="s">
        <v>1136</v>
      </c>
      <c r="C1121" s="21" t="s">
        <v>1095</v>
      </c>
      <c r="D1121" s="21" t="s">
        <v>33</v>
      </c>
      <c r="E1121" s="21" t="s">
        <v>6555</v>
      </c>
      <c r="F1121" s="21" t="s">
        <v>6556</v>
      </c>
      <c r="G1121" s="21"/>
    </row>
    <row r="1122" ht="15.75" customHeight="1">
      <c r="A1122" s="20" t="s">
        <v>6557</v>
      </c>
      <c r="B1122" s="21" t="s">
        <v>1136</v>
      </c>
      <c r="C1122" s="21" t="s">
        <v>1095</v>
      </c>
      <c r="D1122" s="21" t="s">
        <v>33</v>
      </c>
      <c r="E1122" s="21" t="s">
        <v>6558</v>
      </c>
      <c r="F1122" s="21" t="s">
        <v>6559</v>
      </c>
      <c r="G1122" s="21"/>
    </row>
    <row r="1123" ht="15.75" customHeight="1">
      <c r="A1123" s="20" t="s">
        <v>6560</v>
      </c>
      <c r="B1123" s="21" t="s">
        <v>1136</v>
      </c>
      <c r="C1123" s="21" t="s">
        <v>1095</v>
      </c>
      <c r="D1123" s="21" t="s">
        <v>33</v>
      </c>
      <c r="E1123" s="21" t="s">
        <v>6561</v>
      </c>
      <c r="F1123" s="21" t="s">
        <v>6562</v>
      </c>
      <c r="G1123" s="21"/>
    </row>
    <row r="1124" ht="15.75" customHeight="1">
      <c r="A1124" s="20" t="s">
        <v>6563</v>
      </c>
      <c r="B1124" s="21" t="s">
        <v>1136</v>
      </c>
      <c r="C1124" s="21" t="s">
        <v>1095</v>
      </c>
      <c r="D1124" s="21" t="s">
        <v>33</v>
      </c>
      <c r="E1124" s="21" t="s">
        <v>6564</v>
      </c>
      <c r="F1124" s="21" t="s">
        <v>6565</v>
      </c>
      <c r="G1124" s="21"/>
    </row>
    <row r="1125" ht="15.75" customHeight="1">
      <c r="A1125" s="20" t="s">
        <v>6566</v>
      </c>
      <c r="B1125" s="21" t="s">
        <v>1136</v>
      </c>
      <c r="C1125" s="21" t="s">
        <v>1095</v>
      </c>
      <c r="D1125" s="21" t="s">
        <v>33</v>
      </c>
      <c r="E1125" s="21" t="s">
        <v>6567</v>
      </c>
      <c r="F1125" s="21" t="s">
        <v>6568</v>
      </c>
      <c r="G1125" s="21"/>
    </row>
    <row r="1126" ht="15.75" customHeight="1">
      <c r="A1126" s="20" t="s">
        <v>6569</v>
      </c>
      <c r="B1126" s="21" t="s">
        <v>1136</v>
      </c>
      <c r="C1126" s="21" t="s">
        <v>1095</v>
      </c>
      <c r="D1126" s="21" t="s">
        <v>33</v>
      </c>
      <c r="E1126" s="21" t="s">
        <v>6570</v>
      </c>
      <c r="F1126" s="21" t="s">
        <v>6571</v>
      </c>
      <c r="G1126" s="21"/>
    </row>
    <row r="1127" ht="15.75" customHeight="1">
      <c r="A1127" s="20" t="s">
        <v>6572</v>
      </c>
      <c r="B1127" s="21" t="s">
        <v>1136</v>
      </c>
      <c r="C1127" s="21" t="s">
        <v>1095</v>
      </c>
      <c r="D1127" s="21" t="s">
        <v>33</v>
      </c>
      <c r="E1127" s="21" t="s">
        <v>6573</v>
      </c>
      <c r="F1127" s="21" t="s">
        <v>6574</v>
      </c>
      <c r="G1127" s="21"/>
    </row>
    <row r="1128" ht="15.75" customHeight="1">
      <c r="A1128" s="20" t="s">
        <v>6575</v>
      </c>
      <c r="B1128" s="21" t="s">
        <v>1136</v>
      </c>
      <c r="C1128" s="21" t="s">
        <v>1095</v>
      </c>
      <c r="D1128" s="21" t="s">
        <v>33</v>
      </c>
      <c r="E1128" s="21" t="s">
        <v>6576</v>
      </c>
      <c r="F1128" s="21" t="s">
        <v>6577</v>
      </c>
      <c r="G1128" s="21"/>
    </row>
    <row r="1129" ht="15.75" customHeight="1">
      <c r="A1129" s="20" t="s">
        <v>6578</v>
      </c>
      <c r="B1129" s="21" t="s">
        <v>1136</v>
      </c>
      <c r="C1129" s="21" t="s">
        <v>1095</v>
      </c>
      <c r="D1129" s="21" t="s">
        <v>33</v>
      </c>
      <c r="E1129" s="21" t="s">
        <v>6579</v>
      </c>
      <c r="F1129" s="21" t="s">
        <v>6580</v>
      </c>
      <c r="G1129" s="21"/>
    </row>
    <row r="1130" ht="15.75" customHeight="1">
      <c r="A1130" s="20" t="s">
        <v>6581</v>
      </c>
      <c r="B1130" s="21" t="s">
        <v>1136</v>
      </c>
      <c r="C1130" s="21" t="s">
        <v>1095</v>
      </c>
      <c r="D1130" s="21" t="s">
        <v>33</v>
      </c>
      <c r="E1130" s="21" t="s">
        <v>6582</v>
      </c>
      <c r="F1130" s="21" t="s">
        <v>6583</v>
      </c>
      <c r="G1130" s="21"/>
    </row>
    <row r="1131" ht="15.75" customHeight="1">
      <c r="A1131" s="20" t="s">
        <v>6584</v>
      </c>
      <c r="B1131" s="21" t="s">
        <v>1136</v>
      </c>
      <c r="C1131" s="21" t="s">
        <v>1095</v>
      </c>
      <c r="D1131" s="21" t="s">
        <v>33</v>
      </c>
      <c r="E1131" s="21" t="s">
        <v>6585</v>
      </c>
      <c r="F1131" s="21" t="s">
        <v>6586</v>
      </c>
      <c r="G1131" s="21"/>
    </row>
    <row r="1132" ht="15.75" customHeight="1">
      <c r="A1132" s="20" t="s">
        <v>6587</v>
      </c>
      <c r="B1132" s="21" t="s">
        <v>1136</v>
      </c>
      <c r="C1132" s="21" t="s">
        <v>1095</v>
      </c>
      <c r="D1132" s="21" t="s">
        <v>33</v>
      </c>
      <c r="E1132" s="21" t="s">
        <v>6588</v>
      </c>
      <c r="F1132" s="21" t="s">
        <v>6589</v>
      </c>
      <c r="G1132" s="21"/>
    </row>
    <row r="1133" ht="15.75" customHeight="1">
      <c r="A1133" s="20" t="s">
        <v>6590</v>
      </c>
      <c r="B1133" s="21" t="s">
        <v>1136</v>
      </c>
      <c r="C1133" s="21" t="s">
        <v>1095</v>
      </c>
      <c r="D1133" s="21" t="s">
        <v>33</v>
      </c>
      <c r="E1133" s="21" t="s">
        <v>6591</v>
      </c>
      <c r="F1133" s="21" t="s">
        <v>6592</v>
      </c>
      <c r="G1133" s="21"/>
    </row>
    <row r="1134" ht="15.75" customHeight="1">
      <c r="A1134" s="20" t="s">
        <v>6593</v>
      </c>
      <c r="B1134" s="21" t="s">
        <v>1136</v>
      </c>
      <c r="C1134" s="21" t="s">
        <v>1095</v>
      </c>
      <c r="D1134" s="21" t="s">
        <v>33</v>
      </c>
      <c r="E1134" s="21" t="s">
        <v>6594</v>
      </c>
      <c r="F1134" s="21" t="s">
        <v>6595</v>
      </c>
      <c r="G1134" s="21"/>
    </row>
    <row r="1135" ht="15.75" customHeight="1">
      <c r="A1135" s="20" t="s">
        <v>6596</v>
      </c>
      <c r="B1135" s="21" t="s">
        <v>1136</v>
      </c>
      <c r="C1135" s="21" t="s">
        <v>1095</v>
      </c>
      <c r="D1135" s="21" t="s">
        <v>33</v>
      </c>
      <c r="E1135" s="21" t="s">
        <v>6597</v>
      </c>
      <c r="F1135" s="21" t="s">
        <v>6598</v>
      </c>
      <c r="G1135" s="21"/>
    </row>
    <row r="1136" ht="15.75" customHeight="1">
      <c r="A1136" s="20" t="s">
        <v>6599</v>
      </c>
      <c r="B1136" s="21" t="s">
        <v>1136</v>
      </c>
      <c r="C1136" s="21" t="s">
        <v>1095</v>
      </c>
      <c r="D1136" s="21" t="s">
        <v>33</v>
      </c>
      <c r="E1136" s="21" t="s">
        <v>6600</v>
      </c>
      <c r="F1136" s="21" t="s">
        <v>6601</v>
      </c>
      <c r="G1136" s="21"/>
    </row>
    <row r="1137" ht="15.75" customHeight="1">
      <c r="A1137" s="20" t="s">
        <v>6602</v>
      </c>
      <c r="B1137" s="21" t="s">
        <v>1136</v>
      </c>
      <c r="C1137" s="21" t="s">
        <v>1095</v>
      </c>
      <c r="D1137" s="21" t="s">
        <v>33</v>
      </c>
      <c r="E1137" s="21" t="s">
        <v>6603</v>
      </c>
      <c r="F1137" s="21" t="s">
        <v>6604</v>
      </c>
      <c r="G1137" s="21"/>
    </row>
    <row r="1138" ht="15.75" customHeight="1">
      <c r="A1138" s="20" t="s">
        <v>6605</v>
      </c>
      <c r="B1138" s="21" t="s">
        <v>1136</v>
      </c>
      <c r="C1138" s="21" t="s">
        <v>1095</v>
      </c>
      <c r="D1138" s="21" t="s">
        <v>33</v>
      </c>
      <c r="E1138" s="21" t="s">
        <v>6606</v>
      </c>
      <c r="F1138" s="21" t="s">
        <v>6607</v>
      </c>
      <c r="G1138" s="21"/>
    </row>
    <row r="1139" ht="15.75" customHeight="1">
      <c r="A1139" s="20" t="s">
        <v>6608</v>
      </c>
      <c r="B1139" s="21" t="s">
        <v>1136</v>
      </c>
      <c r="C1139" s="21" t="s">
        <v>1095</v>
      </c>
      <c r="D1139" s="21" t="s">
        <v>33</v>
      </c>
      <c r="E1139" s="21" t="s">
        <v>6609</v>
      </c>
      <c r="F1139" s="21" t="s">
        <v>6610</v>
      </c>
      <c r="G1139" s="21"/>
    </row>
    <row r="1140" ht="15.75" customHeight="1">
      <c r="A1140" s="20" t="s">
        <v>6611</v>
      </c>
      <c r="B1140" s="21" t="s">
        <v>1136</v>
      </c>
      <c r="C1140" s="21" t="s">
        <v>1095</v>
      </c>
      <c r="D1140" s="21" t="s">
        <v>33</v>
      </c>
      <c r="E1140" s="21" t="s">
        <v>6612</v>
      </c>
      <c r="F1140" s="21" t="s">
        <v>6613</v>
      </c>
      <c r="G1140" s="21"/>
    </row>
    <row r="1141" ht="15.75" customHeight="1">
      <c r="A1141" s="20" t="s">
        <v>6614</v>
      </c>
      <c r="B1141" s="21" t="s">
        <v>1136</v>
      </c>
      <c r="C1141" s="21" t="s">
        <v>1095</v>
      </c>
      <c r="D1141" s="21" t="s">
        <v>33</v>
      </c>
      <c r="E1141" s="21" t="s">
        <v>6615</v>
      </c>
      <c r="F1141" s="21" t="s">
        <v>6616</v>
      </c>
      <c r="G1141" s="21"/>
    </row>
    <row r="1142" ht="15.75" customHeight="1">
      <c r="A1142" s="20" t="s">
        <v>6617</v>
      </c>
      <c r="B1142" s="21" t="s">
        <v>1136</v>
      </c>
      <c r="C1142" s="21" t="s">
        <v>1095</v>
      </c>
      <c r="D1142" s="21" t="s">
        <v>33</v>
      </c>
      <c r="E1142" s="21" t="s">
        <v>6618</v>
      </c>
      <c r="F1142" s="21" t="s">
        <v>6619</v>
      </c>
      <c r="G1142" s="21"/>
    </row>
    <row r="1143" ht="15.75" customHeight="1">
      <c r="A1143" s="20" t="s">
        <v>6620</v>
      </c>
      <c r="B1143" s="21" t="s">
        <v>1136</v>
      </c>
      <c r="C1143" s="21" t="s">
        <v>1095</v>
      </c>
      <c r="D1143" s="21" t="s">
        <v>33</v>
      </c>
      <c r="E1143" s="21" t="s">
        <v>6621</v>
      </c>
      <c r="F1143" s="21" t="s">
        <v>6622</v>
      </c>
      <c r="G1143" s="21"/>
    </row>
    <row r="1144" ht="15.75" customHeight="1">
      <c r="A1144" s="20" t="s">
        <v>6623</v>
      </c>
      <c r="B1144" s="21" t="s">
        <v>1136</v>
      </c>
      <c r="C1144" s="21" t="s">
        <v>1095</v>
      </c>
      <c r="D1144" s="21" t="s">
        <v>33</v>
      </c>
      <c r="E1144" s="21" t="s">
        <v>6624</v>
      </c>
      <c r="F1144" s="21" t="s">
        <v>6625</v>
      </c>
      <c r="G1144" s="21"/>
    </row>
    <row r="1145" ht="15.75" customHeight="1">
      <c r="A1145" s="20" t="s">
        <v>6626</v>
      </c>
      <c r="B1145" s="21" t="s">
        <v>1136</v>
      </c>
      <c r="C1145" s="21" t="s">
        <v>1095</v>
      </c>
      <c r="D1145" s="21" t="s">
        <v>33</v>
      </c>
      <c r="E1145" s="21" t="s">
        <v>6627</v>
      </c>
      <c r="F1145" s="21" t="s">
        <v>6628</v>
      </c>
      <c r="G1145" s="21"/>
    </row>
    <row r="1146" ht="15.75" customHeight="1">
      <c r="A1146" s="20" t="s">
        <v>6629</v>
      </c>
      <c r="B1146" s="21" t="s">
        <v>1136</v>
      </c>
      <c r="C1146" s="21" t="s">
        <v>1095</v>
      </c>
      <c r="D1146" s="21" t="s">
        <v>33</v>
      </c>
      <c r="E1146" s="21" t="s">
        <v>6630</v>
      </c>
      <c r="F1146" s="21" t="s">
        <v>6631</v>
      </c>
      <c r="G1146" s="21"/>
    </row>
    <row r="1147" ht="15.75" customHeight="1">
      <c r="A1147" s="20" t="s">
        <v>6632</v>
      </c>
      <c r="B1147" s="21" t="s">
        <v>1136</v>
      </c>
      <c r="C1147" s="21" t="s">
        <v>1095</v>
      </c>
      <c r="D1147" s="21" t="s">
        <v>33</v>
      </c>
      <c r="E1147" s="21" t="s">
        <v>6633</v>
      </c>
      <c r="F1147" s="21" t="s">
        <v>6634</v>
      </c>
      <c r="G1147" s="21"/>
    </row>
    <row r="1148" ht="15.75" customHeight="1">
      <c r="A1148" s="20" t="s">
        <v>6635</v>
      </c>
      <c r="B1148" s="21" t="s">
        <v>1136</v>
      </c>
      <c r="C1148" s="21" t="s">
        <v>1095</v>
      </c>
      <c r="D1148" s="21" t="s">
        <v>33</v>
      </c>
      <c r="E1148" s="21" t="s">
        <v>6636</v>
      </c>
      <c r="F1148" s="21" t="s">
        <v>6637</v>
      </c>
      <c r="G1148" s="21"/>
    </row>
    <row r="1149" ht="15.75" customHeight="1">
      <c r="A1149" s="20" t="s">
        <v>6638</v>
      </c>
      <c r="B1149" s="21" t="s">
        <v>6639</v>
      </c>
      <c r="C1149" s="21" t="s">
        <v>5888</v>
      </c>
      <c r="D1149" s="21" t="s">
        <v>33</v>
      </c>
      <c r="E1149" s="21" t="s">
        <v>6640</v>
      </c>
      <c r="F1149" s="21" t="s">
        <v>6641</v>
      </c>
      <c r="G1149" s="21"/>
    </row>
    <row r="1150" ht="15.75" customHeight="1">
      <c r="A1150" s="20" t="s">
        <v>6642</v>
      </c>
      <c r="B1150" s="21" t="s">
        <v>6639</v>
      </c>
      <c r="C1150" s="21" t="s">
        <v>5888</v>
      </c>
      <c r="D1150" s="21" t="s">
        <v>33</v>
      </c>
      <c r="E1150" s="21" t="s">
        <v>6643</v>
      </c>
      <c r="F1150" s="21" t="s">
        <v>6644</v>
      </c>
      <c r="G1150" s="21"/>
    </row>
    <row r="1151" ht="15.75" customHeight="1">
      <c r="A1151" s="20" t="s">
        <v>6645</v>
      </c>
      <c r="B1151" s="21" t="s">
        <v>6646</v>
      </c>
      <c r="C1151" s="21" t="s">
        <v>5968</v>
      </c>
      <c r="D1151" s="21" t="s">
        <v>33</v>
      </c>
      <c r="E1151" s="21" t="s">
        <v>6647</v>
      </c>
      <c r="F1151" s="21" t="s">
        <v>6648</v>
      </c>
      <c r="G1151" s="21"/>
    </row>
    <row r="1152" ht="15.75" customHeight="1">
      <c r="A1152" s="20" t="s">
        <v>6649</v>
      </c>
      <c r="B1152" s="21" t="s">
        <v>6646</v>
      </c>
      <c r="C1152" s="21" t="s">
        <v>5968</v>
      </c>
      <c r="D1152" s="21" t="s">
        <v>33</v>
      </c>
      <c r="E1152" s="21" t="s">
        <v>6650</v>
      </c>
      <c r="F1152" s="21" t="s">
        <v>6651</v>
      </c>
      <c r="G1152" s="21"/>
    </row>
    <row r="1153" ht="15.75" customHeight="1">
      <c r="A1153" s="20" t="s">
        <v>6652</v>
      </c>
      <c r="B1153" s="21" t="s">
        <v>6646</v>
      </c>
      <c r="C1153" s="21" t="s">
        <v>5968</v>
      </c>
      <c r="D1153" s="21" t="s">
        <v>33</v>
      </c>
      <c r="E1153" s="21" t="s">
        <v>6653</v>
      </c>
      <c r="F1153" s="21" t="s">
        <v>6654</v>
      </c>
      <c r="G1153" s="21"/>
    </row>
    <row r="1154" ht="15.75" customHeight="1">
      <c r="A1154" s="20" t="s">
        <v>6655</v>
      </c>
      <c r="B1154" s="21" t="s">
        <v>6646</v>
      </c>
      <c r="C1154" s="21" t="s">
        <v>5968</v>
      </c>
      <c r="D1154" s="21" t="s">
        <v>33</v>
      </c>
      <c r="E1154" s="21" t="s">
        <v>6656</v>
      </c>
      <c r="F1154" s="21" t="s">
        <v>6657</v>
      </c>
      <c r="G1154" s="21"/>
    </row>
    <row r="1155" ht="15.75" customHeight="1">
      <c r="A1155" s="20" t="s">
        <v>6658</v>
      </c>
      <c r="B1155" s="21" t="s">
        <v>6646</v>
      </c>
      <c r="C1155" s="21" t="s">
        <v>5968</v>
      </c>
      <c r="D1155" s="21" t="s">
        <v>33</v>
      </c>
      <c r="E1155" s="21" t="s">
        <v>6659</v>
      </c>
      <c r="F1155" s="21" t="s">
        <v>6660</v>
      </c>
      <c r="G1155" s="21"/>
    </row>
    <row r="1156" ht="15.75" customHeight="1">
      <c r="A1156" s="20" t="s">
        <v>6661</v>
      </c>
      <c r="B1156" s="21" t="s">
        <v>6646</v>
      </c>
      <c r="C1156" s="21" t="s">
        <v>5968</v>
      </c>
      <c r="D1156" s="21" t="s">
        <v>33</v>
      </c>
      <c r="E1156" s="21" t="s">
        <v>6662</v>
      </c>
      <c r="F1156" s="21" t="s">
        <v>6663</v>
      </c>
      <c r="G1156" s="21"/>
    </row>
    <row r="1157" ht="15.75" customHeight="1">
      <c r="A1157" s="20" t="s">
        <v>6664</v>
      </c>
      <c r="B1157" s="21" t="s">
        <v>6646</v>
      </c>
      <c r="C1157" s="21" t="s">
        <v>5968</v>
      </c>
      <c r="D1157" s="21" t="s">
        <v>33</v>
      </c>
      <c r="E1157" s="21" t="s">
        <v>6665</v>
      </c>
      <c r="F1157" s="21" t="s">
        <v>6666</v>
      </c>
      <c r="G1157" s="21"/>
    </row>
    <row r="1158" ht="15.75" customHeight="1">
      <c r="A1158" s="20" t="s">
        <v>6667</v>
      </c>
      <c r="B1158" s="21" t="s">
        <v>2413</v>
      </c>
      <c r="C1158" s="21" t="s">
        <v>6668</v>
      </c>
      <c r="D1158" s="21" t="s">
        <v>33</v>
      </c>
      <c r="E1158" s="21" t="s">
        <v>6669</v>
      </c>
      <c r="F1158" s="21" t="s">
        <v>6670</v>
      </c>
      <c r="G1158" s="21"/>
    </row>
    <row r="1159" ht="15.75" customHeight="1">
      <c r="A1159" s="20" t="s">
        <v>6671</v>
      </c>
      <c r="B1159" s="21" t="s">
        <v>2413</v>
      </c>
      <c r="C1159" s="21" t="s">
        <v>6668</v>
      </c>
      <c r="D1159" s="21" t="s">
        <v>33</v>
      </c>
      <c r="E1159" s="21" t="s">
        <v>6672</v>
      </c>
      <c r="F1159" s="21" t="s">
        <v>6673</v>
      </c>
      <c r="G1159" s="21"/>
    </row>
    <row r="1160" ht="15.75" customHeight="1">
      <c r="A1160" s="20" t="s">
        <v>6674</v>
      </c>
      <c r="B1160" s="21" t="s">
        <v>2413</v>
      </c>
      <c r="C1160" s="21" t="s">
        <v>6675</v>
      </c>
      <c r="D1160" s="21" t="s">
        <v>33</v>
      </c>
      <c r="E1160" s="21" t="s">
        <v>6676</v>
      </c>
      <c r="F1160" s="21" t="s">
        <v>6677</v>
      </c>
      <c r="G1160" s="21"/>
    </row>
    <row r="1161" ht="15.75" customHeight="1">
      <c r="A1161" s="20" t="s">
        <v>6678</v>
      </c>
      <c r="B1161" s="21" t="s">
        <v>2413</v>
      </c>
      <c r="C1161" s="21" t="s">
        <v>829</v>
      </c>
      <c r="D1161" s="21" t="s">
        <v>33</v>
      </c>
      <c r="E1161" s="21" t="s">
        <v>6679</v>
      </c>
      <c r="F1161" s="21" t="s">
        <v>6680</v>
      </c>
      <c r="G1161" s="21"/>
    </row>
    <row r="1162" ht="15.75" customHeight="1">
      <c r="A1162" s="20" t="s">
        <v>6681</v>
      </c>
      <c r="B1162" s="21" t="s">
        <v>6682</v>
      </c>
      <c r="C1162" s="21" t="s">
        <v>6268</v>
      </c>
      <c r="D1162" s="21" t="s">
        <v>33</v>
      </c>
      <c r="E1162" s="21" t="s">
        <v>6683</v>
      </c>
      <c r="F1162" s="21" t="s">
        <v>6684</v>
      </c>
      <c r="G1162" s="21"/>
    </row>
    <row r="1163" ht="15.75" customHeight="1">
      <c r="A1163" s="20" t="s">
        <v>6685</v>
      </c>
      <c r="B1163" s="21" t="s">
        <v>6686</v>
      </c>
      <c r="C1163" s="21" t="s">
        <v>1258</v>
      </c>
      <c r="D1163" s="21" t="s">
        <v>33</v>
      </c>
      <c r="E1163" s="21" t="s">
        <v>6687</v>
      </c>
      <c r="F1163" s="21" t="s">
        <v>6688</v>
      </c>
      <c r="G1163" s="21"/>
    </row>
    <row r="1164" ht="15.75" customHeight="1">
      <c r="A1164" s="20" t="s">
        <v>6689</v>
      </c>
      <c r="B1164" s="21" t="s">
        <v>6690</v>
      </c>
      <c r="C1164" s="21" t="s">
        <v>1281</v>
      </c>
      <c r="D1164" s="21" t="s">
        <v>33</v>
      </c>
      <c r="E1164" s="21" t="s">
        <v>6691</v>
      </c>
      <c r="F1164" s="21" t="s">
        <v>6692</v>
      </c>
      <c r="G1164" s="21"/>
    </row>
    <row r="1165" ht="15.75" customHeight="1">
      <c r="A1165" s="20" t="s">
        <v>6693</v>
      </c>
      <c r="B1165" s="21" t="s">
        <v>6690</v>
      </c>
      <c r="C1165" s="21" t="s">
        <v>1281</v>
      </c>
      <c r="D1165" s="21" t="s">
        <v>33</v>
      </c>
      <c r="E1165" s="21" t="s">
        <v>6694</v>
      </c>
      <c r="F1165" s="21" t="s">
        <v>6695</v>
      </c>
      <c r="G1165" s="21"/>
    </row>
    <row r="1166" ht="15.75" customHeight="1">
      <c r="A1166" s="20" t="s">
        <v>6696</v>
      </c>
      <c r="B1166" s="21" t="s">
        <v>6697</v>
      </c>
      <c r="C1166" s="21" t="s">
        <v>6213</v>
      </c>
      <c r="D1166" s="21" t="s">
        <v>33</v>
      </c>
      <c r="E1166" s="21" t="s">
        <v>6698</v>
      </c>
      <c r="F1166" s="21" t="s">
        <v>6699</v>
      </c>
      <c r="G1166" s="21"/>
    </row>
    <row r="1167" ht="15.75" customHeight="1">
      <c r="A1167" s="20" t="s">
        <v>6700</v>
      </c>
      <c r="B1167" s="21" t="s">
        <v>6697</v>
      </c>
      <c r="C1167" s="21" t="s">
        <v>6213</v>
      </c>
      <c r="D1167" s="21" t="s">
        <v>33</v>
      </c>
      <c r="E1167" s="21" t="s">
        <v>6701</v>
      </c>
      <c r="F1167" s="21" t="s">
        <v>6702</v>
      </c>
      <c r="G1167" s="21"/>
    </row>
    <row r="1168" ht="15.75" customHeight="1">
      <c r="A1168" s="20" t="s">
        <v>6703</v>
      </c>
      <c r="B1168" s="21" t="s">
        <v>1249</v>
      </c>
      <c r="C1168" s="21" t="s">
        <v>1251</v>
      </c>
      <c r="D1168" s="21" t="s">
        <v>33</v>
      </c>
      <c r="E1168" s="21" t="s">
        <v>6704</v>
      </c>
      <c r="F1168" s="21" t="s">
        <v>6705</v>
      </c>
      <c r="G1168" s="21"/>
    </row>
    <row r="1169" ht="15.75" customHeight="1">
      <c r="A1169" s="20" t="s">
        <v>6706</v>
      </c>
      <c r="B1169" s="21" t="s">
        <v>1249</v>
      </c>
      <c r="C1169" s="21" t="s">
        <v>1251</v>
      </c>
      <c r="D1169" s="21" t="s">
        <v>33</v>
      </c>
      <c r="E1169" s="21" t="s">
        <v>6707</v>
      </c>
      <c r="F1169" s="21" t="s">
        <v>6708</v>
      </c>
      <c r="G1169" s="21"/>
    </row>
    <row r="1170" ht="15.75" customHeight="1">
      <c r="A1170" s="20" t="s">
        <v>6709</v>
      </c>
      <c r="B1170" s="21" t="s">
        <v>1249</v>
      </c>
      <c r="C1170" s="21" t="s">
        <v>1251</v>
      </c>
      <c r="D1170" s="21" t="s">
        <v>33</v>
      </c>
      <c r="E1170" s="21" t="s">
        <v>6710</v>
      </c>
      <c r="F1170" s="21" t="s">
        <v>6711</v>
      </c>
      <c r="G1170" s="21"/>
    </row>
    <row r="1171" ht="15.75" customHeight="1">
      <c r="A1171" s="20" t="s">
        <v>6712</v>
      </c>
      <c r="B1171" s="21" t="s">
        <v>6713</v>
      </c>
      <c r="C1171" s="21" t="s">
        <v>5878</v>
      </c>
      <c r="D1171" s="21" t="s">
        <v>33</v>
      </c>
      <c r="E1171" s="21" t="s">
        <v>6714</v>
      </c>
      <c r="F1171" s="21" t="s">
        <v>6715</v>
      </c>
      <c r="G1171" s="21"/>
    </row>
    <row r="1172" ht="15.75" customHeight="1">
      <c r="A1172" s="20" t="s">
        <v>6716</v>
      </c>
      <c r="B1172" s="21" t="s">
        <v>6713</v>
      </c>
      <c r="C1172" s="21" t="s">
        <v>5878</v>
      </c>
      <c r="D1172" s="21" t="s">
        <v>33</v>
      </c>
      <c r="E1172" s="21" t="s">
        <v>6717</v>
      </c>
      <c r="F1172" s="21"/>
      <c r="G1172" s="21"/>
    </row>
    <row r="1173" ht="15.75" customHeight="1">
      <c r="A1173" s="20" t="s">
        <v>6718</v>
      </c>
      <c r="B1173" s="21" t="s">
        <v>5550</v>
      </c>
      <c r="C1173" s="21" t="s">
        <v>847</v>
      </c>
      <c r="D1173" s="21" t="s">
        <v>33</v>
      </c>
      <c r="E1173" s="21" t="s">
        <v>6719</v>
      </c>
      <c r="F1173" s="21" t="s">
        <v>6720</v>
      </c>
      <c r="G1173" s="21"/>
    </row>
    <row r="1174" ht="15.75" customHeight="1">
      <c r="A1174" s="20" t="s">
        <v>6721</v>
      </c>
      <c r="B1174" s="21" t="s">
        <v>6722</v>
      </c>
      <c r="C1174" s="21" t="s">
        <v>1251</v>
      </c>
      <c r="D1174" s="21" t="s">
        <v>33</v>
      </c>
      <c r="E1174" s="21" t="s">
        <v>6723</v>
      </c>
      <c r="F1174" s="21" t="s">
        <v>6724</v>
      </c>
      <c r="G1174" s="21"/>
    </row>
    <row r="1175" ht="15.75" customHeight="1">
      <c r="A1175" s="20" t="s">
        <v>6725</v>
      </c>
      <c r="B1175" s="21" t="s">
        <v>6726</v>
      </c>
      <c r="C1175" s="21" t="s">
        <v>6727</v>
      </c>
      <c r="D1175" s="21" t="s">
        <v>33</v>
      </c>
      <c r="E1175" s="21" t="s">
        <v>6728</v>
      </c>
      <c r="F1175" s="21" t="s">
        <v>6729</v>
      </c>
      <c r="G1175" s="21"/>
    </row>
    <row r="1176" ht="15.75" customHeight="1">
      <c r="A1176" s="20" t="s">
        <v>6730</v>
      </c>
      <c r="B1176" s="21" t="s">
        <v>5554</v>
      </c>
      <c r="C1176" s="21" t="s">
        <v>5555</v>
      </c>
      <c r="D1176" s="21" t="s">
        <v>33</v>
      </c>
      <c r="E1176" s="21" t="s">
        <v>6731</v>
      </c>
      <c r="F1176" s="21" t="s">
        <v>6732</v>
      </c>
      <c r="G1176" s="21"/>
    </row>
    <row r="1177" ht="15.75" customHeight="1">
      <c r="A1177" s="20" t="s">
        <v>6733</v>
      </c>
      <c r="B1177" s="21" t="s">
        <v>6734</v>
      </c>
      <c r="C1177" s="21" t="s">
        <v>5963</v>
      </c>
      <c r="D1177" s="21" t="s">
        <v>33</v>
      </c>
      <c r="E1177" s="21" t="s">
        <v>6735</v>
      </c>
      <c r="F1177" s="21" t="s">
        <v>6736</v>
      </c>
      <c r="G1177" s="21"/>
    </row>
    <row r="1178" ht="15.75" customHeight="1">
      <c r="A1178" s="20" t="s">
        <v>6737</v>
      </c>
      <c r="B1178" s="21" t="s">
        <v>6738</v>
      </c>
      <c r="C1178" s="21" t="s">
        <v>6739</v>
      </c>
      <c r="D1178" s="21" t="s">
        <v>33</v>
      </c>
      <c r="E1178" s="21" t="s">
        <v>6740</v>
      </c>
      <c r="F1178" s="21" t="s">
        <v>6741</v>
      </c>
      <c r="G1178" s="21"/>
    </row>
    <row r="1179" ht="15.75" customHeight="1">
      <c r="A1179" s="20"/>
      <c r="B1179" s="21"/>
      <c r="C1179" s="21"/>
      <c r="D1179" s="21"/>
      <c r="E1179" s="21"/>
      <c r="F1179" s="21"/>
      <c r="G1179" s="21"/>
    </row>
    <row r="1180" ht="15.75" customHeight="1">
      <c r="A1180" s="20" t="s">
        <v>6742</v>
      </c>
      <c r="B1180" s="21"/>
      <c r="C1180" s="21"/>
      <c r="D1180" s="21" t="s">
        <v>52</v>
      </c>
      <c r="E1180" s="21" t="s">
        <v>6743</v>
      </c>
      <c r="F1180" s="21" t="s">
        <v>6744</v>
      </c>
      <c r="G1180" s="21"/>
    </row>
    <row r="1181" ht="15.75" customHeight="1">
      <c r="A1181" s="20" t="s">
        <v>6745</v>
      </c>
      <c r="B1181" s="21"/>
      <c r="C1181" s="21"/>
      <c r="D1181" s="21" t="s">
        <v>52</v>
      </c>
      <c r="E1181" s="21" t="s">
        <v>6746</v>
      </c>
      <c r="F1181" s="21" t="s">
        <v>6747</v>
      </c>
      <c r="G1181" s="21"/>
    </row>
    <row r="1182" ht="15.75" customHeight="1">
      <c r="A1182" s="20" t="s">
        <v>6748</v>
      </c>
      <c r="B1182" s="21"/>
      <c r="C1182" s="21" t="s">
        <v>1611</v>
      </c>
      <c r="D1182" s="21" t="s">
        <v>52</v>
      </c>
      <c r="E1182" s="21" t="s">
        <v>6749</v>
      </c>
      <c r="F1182" s="21" t="s">
        <v>6750</v>
      </c>
      <c r="G1182" s="21"/>
    </row>
    <row r="1183" ht="15.75" customHeight="1">
      <c r="A1183" s="20" t="s">
        <v>6751</v>
      </c>
      <c r="B1183" s="21"/>
      <c r="C1183" s="21"/>
      <c r="D1183" s="21" t="s">
        <v>52</v>
      </c>
      <c r="E1183" s="21" t="s">
        <v>6752</v>
      </c>
      <c r="F1183" s="21" t="s">
        <v>6753</v>
      </c>
      <c r="G1183" s="21"/>
    </row>
    <row r="1184" ht="15.75" customHeight="1">
      <c r="A1184" s="20" t="s">
        <v>6754</v>
      </c>
      <c r="B1184" s="21"/>
      <c r="C1184" s="21" t="s">
        <v>1371</v>
      </c>
      <c r="D1184" s="21" t="s">
        <v>52</v>
      </c>
      <c r="E1184" s="21" t="s">
        <v>6755</v>
      </c>
      <c r="F1184" s="21" t="s">
        <v>6756</v>
      </c>
      <c r="G1184" s="21"/>
    </row>
    <row r="1185" ht="15.75" customHeight="1">
      <c r="A1185" s="20" t="s">
        <v>6757</v>
      </c>
      <c r="B1185" s="21"/>
      <c r="C1185" s="21"/>
      <c r="D1185" s="21" t="s">
        <v>52</v>
      </c>
      <c r="E1185" s="21" t="s">
        <v>6758</v>
      </c>
      <c r="F1185" s="21" t="s">
        <v>6759</v>
      </c>
      <c r="G1185" s="21"/>
    </row>
    <row r="1186" ht="15.75" customHeight="1">
      <c r="A1186" s="20" t="s">
        <v>6760</v>
      </c>
      <c r="B1186" s="21"/>
      <c r="C1186" s="21"/>
      <c r="D1186" s="21" t="s">
        <v>52</v>
      </c>
      <c r="E1186" s="21" t="s">
        <v>6761</v>
      </c>
      <c r="F1186" s="21" t="s">
        <v>6762</v>
      </c>
      <c r="G1186" s="21"/>
    </row>
    <row r="1187" ht="15.75" customHeight="1">
      <c r="A1187" s="20" t="s">
        <v>6763</v>
      </c>
      <c r="B1187" s="21"/>
      <c r="C1187" s="21" t="s">
        <v>1351</v>
      </c>
      <c r="D1187" s="21" t="s">
        <v>52</v>
      </c>
      <c r="E1187" s="21" t="s">
        <v>6764</v>
      </c>
      <c r="F1187" s="21" t="s">
        <v>6765</v>
      </c>
      <c r="G1187" s="21"/>
    </row>
    <row r="1188" ht="15.75" customHeight="1">
      <c r="A1188" s="20" t="s">
        <v>6766</v>
      </c>
      <c r="B1188" s="21"/>
      <c r="C1188" s="21" t="s">
        <v>1351</v>
      </c>
      <c r="D1188" s="21" t="s">
        <v>52</v>
      </c>
      <c r="E1188" s="21" t="s">
        <v>6767</v>
      </c>
      <c r="F1188" s="21" t="s">
        <v>6768</v>
      </c>
      <c r="G1188" s="21"/>
    </row>
    <row r="1189" ht="15.75" customHeight="1">
      <c r="A1189" s="20" t="s">
        <v>6769</v>
      </c>
      <c r="B1189" s="21"/>
      <c r="C1189" s="21"/>
      <c r="D1189" s="21" t="s">
        <v>52</v>
      </c>
      <c r="E1189" s="21" t="s">
        <v>6770</v>
      </c>
      <c r="F1189" s="21" t="s">
        <v>6771</v>
      </c>
      <c r="G1189" s="21"/>
    </row>
    <row r="1190" ht="15.75" customHeight="1">
      <c r="A1190" s="20" t="s">
        <v>6772</v>
      </c>
      <c r="B1190" s="21"/>
      <c r="C1190" s="21"/>
      <c r="D1190" s="21" t="s">
        <v>52</v>
      </c>
      <c r="E1190" s="21" t="s">
        <v>6773</v>
      </c>
      <c r="F1190" s="21" t="s">
        <v>6774</v>
      </c>
      <c r="G1190" s="21"/>
    </row>
    <row r="1191" ht="15.75" customHeight="1">
      <c r="A1191" s="20" t="s">
        <v>6775</v>
      </c>
      <c r="B1191" s="21"/>
      <c r="C1191" s="21" t="s">
        <v>1288</v>
      </c>
      <c r="D1191" s="21" t="s">
        <v>52</v>
      </c>
      <c r="E1191" s="21" t="s">
        <v>6776</v>
      </c>
      <c r="F1191" s="21" t="s">
        <v>6777</v>
      </c>
      <c r="G1191" s="21"/>
    </row>
    <row r="1192" ht="15.75" customHeight="1">
      <c r="A1192" s="20" t="s">
        <v>6778</v>
      </c>
      <c r="B1192" s="21"/>
      <c r="C1192" s="21" t="s">
        <v>1693</v>
      </c>
      <c r="D1192" s="21" t="s">
        <v>52</v>
      </c>
      <c r="E1192" s="21" t="s">
        <v>6779</v>
      </c>
      <c r="F1192" s="21" t="s">
        <v>6780</v>
      </c>
      <c r="G1192" s="21"/>
    </row>
    <row r="1193" ht="15.75" customHeight="1">
      <c r="A1193" s="20" t="s">
        <v>6781</v>
      </c>
      <c r="B1193" s="21"/>
      <c r="C1193" s="21"/>
      <c r="D1193" s="21" t="s">
        <v>52</v>
      </c>
      <c r="E1193" s="21" t="s">
        <v>6782</v>
      </c>
      <c r="F1193" s="21" t="s">
        <v>6783</v>
      </c>
      <c r="G1193" s="21"/>
    </row>
    <row r="1194" ht="15.75" customHeight="1">
      <c r="A1194" s="20" t="s">
        <v>6784</v>
      </c>
      <c r="B1194" s="21"/>
      <c r="C1194" s="21" t="s">
        <v>1351</v>
      </c>
      <c r="D1194" s="21" t="s">
        <v>52</v>
      </c>
      <c r="E1194" s="21" t="s">
        <v>6785</v>
      </c>
      <c r="F1194" s="21" t="s">
        <v>6786</v>
      </c>
      <c r="G1194" s="21"/>
    </row>
    <row r="1195" ht="15.75" customHeight="1">
      <c r="A1195" s="20" t="s">
        <v>6787</v>
      </c>
      <c r="B1195" s="21"/>
      <c r="C1195" s="21"/>
      <c r="D1195" s="21" t="s">
        <v>52</v>
      </c>
      <c r="E1195" s="21" t="s">
        <v>6788</v>
      </c>
      <c r="F1195" s="21" t="s">
        <v>6789</v>
      </c>
      <c r="G1195" s="21"/>
    </row>
    <row r="1196" ht="15.75" customHeight="1">
      <c r="A1196" s="20" t="s">
        <v>6790</v>
      </c>
      <c r="B1196" s="21"/>
      <c r="C1196" s="21"/>
      <c r="D1196" s="21" t="s">
        <v>52</v>
      </c>
      <c r="E1196" s="21" t="s">
        <v>6791</v>
      </c>
      <c r="F1196" s="21" t="s">
        <v>6792</v>
      </c>
      <c r="G1196" s="21"/>
    </row>
    <row r="1197" ht="15.75" customHeight="1">
      <c r="A1197" s="20" t="s">
        <v>6793</v>
      </c>
      <c r="B1197" s="21"/>
      <c r="C1197" s="21"/>
      <c r="D1197" s="21" t="s">
        <v>52</v>
      </c>
      <c r="E1197" s="21" t="s">
        <v>6794</v>
      </c>
      <c r="F1197" s="21" t="s">
        <v>6795</v>
      </c>
      <c r="G1197" s="21"/>
    </row>
    <row r="1198" ht="15.75" customHeight="1">
      <c r="A1198" s="20" t="s">
        <v>6796</v>
      </c>
      <c r="B1198" s="21"/>
      <c r="C1198" s="21"/>
      <c r="D1198" s="21" t="s">
        <v>52</v>
      </c>
      <c r="E1198" s="21" t="s">
        <v>6797</v>
      </c>
      <c r="F1198" s="21" t="s">
        <v>6798</v>
      </c>
      <c r="G1198" s="21"/>
    </row>
    <row r="1199" ht="15.75" customHeight="1">
      <c r="A1199" s="20" t="s">
        <v>4695</v>
      </c>
      <c r="B1199" s="21"/>
      <c r="C1199" s="21"/>
      <c r="D1199" s="21" t="s">
        <v>52</v>
      </c>
      <c r="E1199" s="21" t="s">
        <v>6799</v>
      </c>
      <c r="F1199" s="21" t="s">
        <v>6800</v>
      </c>
      <c r="G1199" s="21"/>
    </row>
    <row r="1200" ht="15.75" customHeight="1">
      <c r="A1200" s="20" t="s">
        <v>6801</v>
      </c>
      <c r="B1200" s="21"/>
      <c r="C1200" s="21" t="s">
        <v>1386</v>
      </c>
      <c r="D1200" s="21" t="s">
        <v>52</v>
      </c>
      <c r="E1200" s="21" t="s">
        <v>6802</v>
      </c>
      <c r="F1200" s="21" t="s">
        <v>6803</v>
      </c>
      <c r="G1200" s="21"/>
    </row>
    <row r="1201" ht="15.75" customHeight="1">
      <c r="A1201" s="20" t="s">
        <v>6804</v>
      </c>
      <c r="B1201" s="21"/>
      <c r="C1201" s="21"/>
      <c r="D1201" s="21" t="s">
        <v>52</v>
      </c>
      <c r="E1201" s="21" t="s">
        <v>6805</v>
      </c>
      <c r="F1201" s="21" t="s">
        <v>6806</v>
      </c>
      <c r="G1201" s="21"/>
    </row>
    <row r="1202" ht="15.75" customHeight="1">
      <c r="A1202" s="20" t="s">
        <v>6807</v>
      </c>
      <c r="B1202" s="21"/>
      <c r="C1202" s="21"/>
      <c r="D1202" s="21" t="s">
        <v>52</v>
      </c>
      <c r="E1202" s="21" t="s">
        <v>6808</v>
      </c>
      <c r="F1202" s="21" t="s">
        <v>6809</v>
      </c>
      <c r="G1202" s="21"/>
    </row>
    <row r="1203" ht="15.75" customHeight="1">
      <c r="A1203" s="20" t="s">
        <v>6810</v>
      </c>
      <c r="B1203" s="21"/>
      <c r="C1203" s="21"/>
      <c r="D1203" s="21" t="s">
        <v>52</v>
      </c>
      <c r="E1203" s="21" t="s">
        <v>6811</v>
      </c>
      <c r="F1203" s="21" t="s">
        <v>6812</v>
      </c>
      <c r="G1203" s="21"/>
    </row>
    <row r="1204" ht="15.75" customHeight="1">
      <c r="A1204" s="20" t="s">
        <v>6813</v>
      </c>
      <c r="B1204" s="21"/>
      <c r="C1204" s="21"/>
      <c r="D1204" s="21" t="s">
        <v>52</v>
      </c>
      <c r="E1204" s="21" t="s">
        <v>6814</v>
      </c>
      <c r="F1204" s="21" t="s">
        <v>6815</v>
      </c>
      <c r="G1204" s="21"/>
    </row>
    <row r="1205" ht="15.75" customHeight="1">
      <c r="A1205" s="20" t="s">
        <v>6816</v>
      </c>
      <c r="B1205" s="21"/>
      <c r="C1205" s="21"/>
      <c r="D1205" s="21" t="s">
        <v>52</v>
      </c>
      <c r="E1205" s="21" t="s">
        <v>6817</v>
      </c>
      <c r="F1205" s="21" t="s">
        <v>6818</v>
      </c>
      <c r="G1205" s="21"/>
    </row>
    <row r="1206" ht="15.75" customHeight="1">
      <c r="A1206" s="20" t="s">
        <v>6819</v>
      </c>
      <c r="B1206" s="21"/>
      <c r="C1206" s="21"/>
      <c r="D1206" s="21" t="s">
        <v>52</v>
      </c>
      <c r="E1206" s="21" t="s">
        <v>6820</v>
      </c>
      <c r="F1206" s="21" t="s">
        <v>6821</v>
      </c>
      <c r="G1206" s="21"/>
    </row>
    <row r="1207" ht="15.75" customHeight="1">
      <c r="A1207" s="20" t="s">
        <v>6822</v>
      </c>
      <c r="B1207" s="21"/>
      <c r="C1207" s="21"/>
      <c r="D1207" s="21" t="s">
        <v>52</v>
      </c>
      <c r="E1207" s="21" t="s">
        <v>6823</v>
      </c>
      <c r="F1207" s="21" t="s">
        <v>6824</v>
      </c>
      <c r="G1207" s="21"/>
    </row>
    <row r="1208" ht="15.75" customHeight="1">
      <c r="A1208" s="20" t="s">
        <v>6825</v>
      </c>
      <c r="B1208" s="21"/>
      <c r="C1208" s="21" t="s">
        <v>1351</v>
      </c>
      <c r="D1208" s="21" t="s">
        <v>52</v>
      </c>
      <c r="E1208" s="21" t="s">
        <v>6826</v>
      </c>
      <c r="F1208" s="21" t="s">
        <v>6827</v>
      </c>
      <c r="G1208" s="21"/>
    </row>
    <row r="1209" ht="15.75" customHeight="1">
      <c r="A1209" s="20" t="s">
        <v>6828</v>
      </c>
      <c r="B1209" s="21"/>
      <c r="C1209" s="21"/>
      <c r="D1209" s="21" t="s">
        <v>52</v>
      </c>
      <c r="E1209" s="21" t="s">
        <v>6829</v>
      </c>
      <c r="F1209" s="21" t="s">
        <v>6830</v>
      </c>
      <c r="G1209" s="21"/>
    </row>
    <row r="1210" ht="15.75" customHeight="1">
      <c r="A1210" s="20" t="s">
        <v>6831</v>
      </c>
      <c r="B1210" s="21"/>
      <c r="C1210" s="21"/>
      <c r="D1210" s="21" t="s">
        <v>52</v>
      </c>
      <c r="E1210" s="21" t="s">
        <v>6832</v>
      </c>
      <c r="F1210" s="21" t="s">
        <v>6833</v>
      </c>
      <c r="G1210" s="21"/>
    </row>
    <row r="1211" ht="15.75" customHeight="1">
      <c r="A1211" s="20" t="s">
        <v>6834</v>
      </c>
      <c r="B1211" s="21"/>
      <c r="C1211" s="21"/>
      <c r="D1211" s="21" t="s">
        <v>52</v>
      </c>
      <c r="E1211" s="21" t="s">
        <v>6835</v>
      </c>
      <c r="F1211" s="21" t="s">
        <v>6836</v>
      </c>
      <c r="G1211" s="21"/>
    </row>
    <row r="1212" ht="15.75" customHeight="1">
      <c r="A1212" s="20" t="s">
        <v>6837</v>
      </c>
      <c r="B1212" s="21"/>
      <c r="C1212" s="21"/>
      <c r="D1212" s="21" t="s">
        <v>52</v>
      </c>
      <c r="E1212" s="21" t="s">
        <v>6838</v>
      </c>
      <c r="F1212" s="21" t="s">
        <v>6839</v>
      </c>
      <c r="G1212" s="21"/>
    </row>
    <row r="1213" ht="15.75" customHeight="1">
      <c r="A1213" s="20" t="s">
        <v>6840</v>
      </c>
      <c r="B1213" s="21"/>
      <c r="C1213" s="21"/>
      <c r="D1213" s="21" t="s">
        <v>52</v>
      </c>
      <c r="E1213" s="21" t="s">
        <v>6841</v>
      </c>
      <c r="F1213" s="21" t="s">
        <v>6842</v>
      </c>
      <c r="G1213" s="21"/>
    </row>
    <row r="1214" ht="15.75" customHeight="1">
      <c r="A1214" s="20" t="s">
        <v>6843</v>
      </c>
      <c r="B1214" s="21"/>
      <c r="C1214" s="21"/>
      <c r="D1214" s="21" t="s">
        <v>52</v>
      </c>
      <c r="E1214" s="21" t="s">
        <v>6844</v>
      </c>
      <c r="F1214" s="21" t="s">
        <v>6845</v>
      </c>
      <c r="G1214" s="21"/>
    </row>
    <row r="1215" ht="15.75" customHeight="1">
      <c r="A1215" s="20" t="s">
        <v>6846</v>
      </c>
      <c r="B1215" s="21"/>
      <c r="C1215" s="21"/>
      <c r="D1215" s="21" t="s">
        <v>52</v>
      </c>
      <c r="E1215" s="21" t="s">
        <v>6847</v>
      </c>
      <c r="F1215" s="21" t="s">
        <v>6848</v>
      </c>
      <c r="G1215" s="21"/>
    </row>
    <row r="1216" ht="15.75" customHeight="1">
      <c r="A1216" s="20" t="s">
        <v>6849</v>
      </c>
      <c r="B1216" s="21"/>
      <c r="C1216" s="21"/>
      <c r="D1216" s="21" t="s">
        <v>52</v>
      </c>
      <c r="E1216" s="21" t="s">
        <v>6850</v>
      </c>
      <c r="F1216" s="21" t="s">
        <v>6851</v>
      </c>
      <c r="G1216" s="21"/>
    </row>
    <row r="1217" ht="15.75" customHeight="1">
      <c r="A1217" s="20" t="s">
        <v>6852</v>
      </c>
      <c r="B1217" s="21"/>
      <c r="C1217" s="21"/>
      <c r="D1217" s="21" t="s">
        <v>52</v>
      </c>
      <c r="E1217" s="21" t="s">
        <v>6853</v>
      </c>
      <c r="F1217" s="21" t="s">
        <v>6854</v>
      </c>
      <c r="G1217" s="21"/>
    </row>
    <row r="1218" ht="15.75" customHeight="1">
      <c r="A1218" s="20" t="s">
        <v>6855</v>
      </c>
      <c r="B1218" s="21"/>
      <c r="C1218" s="21"/>
      <c r="D1218" s="21" t="s">
        <v>52</v>
      </c>
      <c r="E1218" s="21" t="s">
        <v>6856</v>
      </c>
      <c r="F1218" s="21" t="s">
        <v>6857</v>
      </c>
      <c r="G1218" s="21"/>
    </row>
    <row r="1219" ht="15.75" customHeight="1">
      <c r="A1219" s="20" t="s">
        <v>6858</v>
      </c>
      <c r="B1219" s="21"/>
      <c r="C1219" s="21"/>
      <c r="D1219" s="21" t="s">
        <v>52</v>
      </c>
      <c r="E1219" s="21" t="s">
        <v>6859</v>
      </c>
      <c r="F1219" s="21" t="s">
        <v>6860</v>
      </c>
      <c r="G1219" s="21"/>
    </row>
    <row r="1220" ht="15.75" customHeight="1">
      <c r="A1220" s="20" t="s">
        <v>6861</v>
      </c>
      <c r="B1220" s="21"/>
      <c r="C1220" s="21"/>
      <c r="D1220" s="21" t="s">
        <v>52</v>
      </c>
      <c r="E1220" s="21" t="s">
        <v>6862</v>
      </c>
      <c r="F1220" s="21" t="s">
        <v>6863</v>
      </c>
      <c r="G1220" s="21"/>
    </row>
    <row r="1221" ht="15.75" customHeight="1">
      <c r="A1221" s="20" t="s">
        <v>6864</v>
      </c>
      <c r="B1221" s="21"/>
      <c r="C1221" s="21"/>
      <c r="D1221" s="21" t="s">
        <v>52</v>
      </c>
      <c r="E1221" s="21" t="s">
        <v>6865</v>
      </c>
      <c r="F1221" s="21" t="s">
        <v>6866</v>
      </c>
      <c r="G1221" s="21"/>
    </row>
    <row r="1222" ht="15.75" customHeight="1">
      <c r="A1222" s="20" t="s">
        <v>6867</v>
      </c>
      <c r="B1222" s="21"/>
      <c r="C1222" s="21"/>
      <c r="D1222" s="21" t="s">
        <v>52</v>
      </c>
      <c r="E1222" s="21" t="s">
        <v>6868</v>
      </c>
      <c r="F1222" s="21" t="s">
        <v>6869</v>
      </c>
      <c r="G1222" s="21"/>
    </row>
    <row r="1223" ht="15.75" customHeight="1">
      <c r="A1223" s="20" t="s">
        <v>6870</v>
      </c>
      <c r="B1223" s="21"/>
      <c r="C1223" s="21" t="s">
        <v>1344</v>
      </c>
      <c r="D1223" s="21" t="s">
        <v>52</v>
      </c>
      <c r="E1223" s="21" t="s">
        <v>6871</v>
      </c>
      <c r="F1223" s="21" t="s">
        <v>6872</v>
      </c>
      <c r="G1223" s="21"/>
    </row>
    <row r="1224" ht="15.75" customHeight="1">
      <c r="A1224" s="20" t="s">
        <v>6873</v>
      </c>
      <c r="B1224" s="21"/>
      <c r="C1224" s="21"/>
      <c r="D1224" s="21" t="s">
        <v>52</v>
      </c>
      <c r="E1224" s="21" t="s">
        <v>6874</v>
      </c>
      <c r="F1224" s="21" t="s">
        <v>6875</v>
      </c>
      <c r="G1224" s="21"/>
    </row>
    <row r="1225" ht="15.75" customHeight="1">
      <c r="A1225" s="20" t="s">
        <v>6876</v>
      </c>
      <c r="B1225" s="21"/>
      <c r="C1225" s="21"/>
      <c r="D1225" s="21" t="s">
        <v>52</v>
      </c>
      <c r="E1225" s="21" t="s">
        <v>6877</v>
      </c>
      <c r="F1225" s="21" t="s">
        <v>6878</v>
      </c>
      <c r="G1225" s="21"/>
    </row>
    <row r="1226" ht="15.75" customHeight="1">
      <c r="A1226" s="20" t="s">
        <v>6879</v>
      </c>
      <c r="B1226" s="21"/>
      <c r="C1226" s="21"/>
      <c r="D1226" s="21" t="s">
        <v>52</v>
      </c>
      <c r="E1226" s="21" t="s">
        <v>6880</v>
      </c>
      <c r="F1226" s="21" t="s">
        <v>6881</v>
      </c>
      <c r="G1226" s="21"/>
    </row>
    <row r="1227" ht="15.75" customHeight="1">
      <c r="A1227" s="20" t="s">
        <v>6882</v>
      </c>
      <c r="B1227" s="21"/>
      <c r="C1227" s="21"/>
      <c r="D1227" s="21" t="s">
        <v>52</v>
      </c>
      <c r="E1227" s="21" t="s">
        <v>6883</v>
      </c>
      <c r="F1227" s="21" t="s">
        <v>6884</v>
      </c>
      <c r="G1227" s="21"/>
    </row>
    <row r="1228" ht="15.75" customHeight="1">
      <c r="A1228" s="20" t="s">
        <v>6885</v>
      </c>
      <c r="B1228" s="21"/>
      <c r="C1228" s="21"/>
      <c r="D1228" s="21" t="s">
        <v>52</v>
      </c>
      <c r="E1228" s="21" t="s">
        <v>6886</v>
      </c>
      <c r="F1228" s="21" t="s">
        <v>6887</v>
      </c>
      <c r="G1228" s="21"/>
    </row>
    <row r="1229" ht="15.75" customHeight="1">
      <c r="A1229" s="20" t="s">
        <v>6888</v>
      </c>
      <c r="B1229" s="21"/>
      <c r="C1229" s="21"/>
      <c r="D1229" s="21" t="s">
        <v>52</v>
      </c>
      <c r="E1229" s="21" t="s">
        <v>6889</v>
      </c>
      <c r="F1229" s="21" t="s">
        <v>6890</v>
      </c>
      <c r="G1229" s="21"/>
    </row>
    <row r="1230" ht="15.75" customHeight="1">
      <c r="A1230" s="20" t="s">
        <v>6891</v>
      </c>
      <c r="B1230" s="21"/>
      <c r="C1230" s="21"/>
      <c r="D1230" s="21" t="s">
        <v>52</v>
      </c>
      <c r="E1230" s="21" t="s">
        <v>6892</v>
      </c>
      <c r="F1230" s="21" t="s">
        <v>6893</v>
      </c>
      <c r="G1230" s="21"/>
    </row>
    <row r="1231" ht="15.75" customHeight="1">
      <c r="A1231" s="20" t="s">
        <v>6894</v>
      </c>
      <c r="B1231" s="21"/>
      <c r="C1231" s="21"/>
      <c r="D1231" s="21" t="s">
        <v>52</v>
      </c>
      <c r="E1231" s="21" t="s">
        <v>6895</v>
      </c>
      <c r="F1231" s="21" t="s">
        <v>6896</v>
      </c>
      <c r="G1231" s="21"/>
    </row>
    <row r="1232" ht="15.75" customHeight="1">
      <c r="A1232" s="20" t="s">
        <v>6897</v>
      </c>
      <c r="B1232" s="21"/>
      <c r="C1232" s="21"/>
      <c r="D1232" s="21" t="s">
        <v>52</v>
      </c>
      <c r="E1232" s="21" t="s">
        <v>6898</v>
      </c>
      <c r="F1232" s="21" t="s">
        <v>6899</v>
      </c>
      <c r="G1232" s="21"/>
    </row>
    <row r="1233" ht="15.75" customHeight="1">
      <c r="A1233" s="20" t="s">
        <v>6900</v>
      </c>
      <c r="B1233" s="21"/>
      <c r="C1233" s="21"/>
      <c r="D1233" s="21" t="s">
        <v>52</v>
      </c>
      <c r="E1233" s="21" t="s">
        <v>6901</v>
      </c>
      <c r="F1233" s="21" t="s">
        <v>6902</v>
      </c>
      <c r="G1233" s="21"/>
    </row>
    <row r="1234" ht="15.75" customHeight="1">
      <c r="A1234" s="20" t="s">
        <v>3244</v>
      </c>
      <c r="B1234" s="21"/>
      <c r="C1234" s="21"/>
      <c r="D1234" s="21" t="s">
        <v>52</v>
      </c>
      <c r="E1234" s="21" t="s">
        <v>6903</v>
      </c>
      <c r="F1234" s="21" t="s">
        <v>6904</v>
      </c>
      <c r="G1234" s="21"/>
    </row>
    <row r="1235" ht="15.75" customHeight="1">
      <c r="A1235" s="20" t="s">
        <v>6905</v>
      </c>
      <c r="B1235" s="21"/>
      <c r="C1235" s="21"/>
      <c r="D1235" s="21" t="s">
        <v>52</v>
      </c>
      <c r="E1235" s="21" t="s">
        <v>6906</v>
      </c>
      <c r="F1235" s="21"/>
      <c r="G1235" s="21"/>
    </row>
    <row r="1236" ht="15.75" customHeight="1">
      <c r="A1236" s="20" t="s">
        <v>6907</v>
      </c>
      <c r="B1236" s="21"/>
      <c r="C1236" s="21"/>
      <c r="D1236" s="21" t="s">
        <v>52</v>
      </c>
      <c r="E1236" s="21" t="s">
        <v>6908</v>
      </c>
      <c r="F1236" s="21" t="s">
        <v>6909</v>
      </c>
      <c r="G1236" s="21"/>
    </row>
    <row r="1237" ht="15.75" customHeight="1">
      <c r="A1237" s="20" t="s">
        <v>6910</v>
      </c>
      <c r="B1237" s="21"/>
      <c r="C1237" s="21"/>
      <c r="D1237" s="21" t="s">
        <v>52</v>
      </c>
      <c r="E1237" s="21" t="s">
        <v>6911</v>
      </c>
      <c r="F1237" s="21" t="s">
        <v>6912</v>
      </c>
      <c r="G1237" s="21"/>
    </row>
    <row r="1238" ht="15.75" customHeight="1">
      <c r="A1238" s="20" t="s">
        <v>6913</v>
      </c>
      <c r="B1238" s="21"/>
      <c r="C1238" s="21"/>
      <c r="D1238" s="21" t="s">
        <v>52</v>
      </c>
      <c r="E1238" s="21" t="s">
        <v>6914</v>
      </c>
      <c r="F1238" s="21" t="s">
        <v>6915</v>
      </c>
      <c r="G1238" s="21"/>
    </row>
    <row r="1239" ht="15.75" customHeight="1">
      <c r="A1239" s="20" t="s">
        <v>6916</v>
      </c>
      <c r="B1239" s="21"/>
      <c r="C1239" s="21" t="s">
        <v>1351</v>
      </c>
      <c r="D1239" s="21" t="s">
        <v>52</v>
      </c>
      <c r="E1239" s="21" t="s">
        <v>6917</v>
      </c>
      <c r="F1239" s="21" t="s">
        <v>6918</v>
      </c>
      <c r="G1239" s="21"/>
    </row>
    <row r="1240" ht="15.75" customHeight="1">
      <c r="A1240" s="20" t="s">
        <v>6919</v>
      </c>
      <c r="B1240" s="21" t="s">
        <v>6920</v>
      </c>
      <c r="C1240" s="21" t="s">
        <v>1353</v>
      </c>
      <c r="D1240" s="21" t="s">
        <v>52</v>
      </c>
      <c r="E1240" s="21" t="s">
        <v>6921</v>
      </c>
      <c r="F1240" s="21" t="s">
        <v>6922</v>
      </c>
      <c r="G1240" s="21"/>
    </row>
    <row r="1241" ht="15.75" customHeight="1">
      <c r="A1241" s="20" t="s">
        <v>6923</v>
      </c>
      <c r="B1241" s="21" t="s">
        <v>6924</v>
      </c>
      <c r="C1241" s="21" t="s">
        <v>6925</v>
      </c>
      <c r="D1241" s="21" t="s">
        <v>52</v>
      </c>
      <c r="E1241" s="21" t="s">
        <v>6926</v>
      </c>
      <c r="F1241" s="21" t="s">
        <v>6927</v>
      </c>
      <c r="G1241" s="21"/>
    </row>
    <row r="1242" ht="15.75" customHeight="1">
      <c r="A1242" s="20" t="s">
        <v>6928</v>
      </c>
      <c r="B1242" s="21" t="s">
        <v>6924</v>
      </c>
      <c r="C1242" s="21" t="s">
        <v>6925</v>
      </c>
      <c r="D1242" s="21" t="s">
        <v>52</v>
      </c>
      <c r="E1242" s="21" t="s">
        <v>6929</v>
      </c>
      <c r="F1242" s="21" t="s">
        <v>6930</v>
      </c>
      <c r="G1242" s="21"/>
    </row>
    <row r="1243" ht="15.75" customHeight="1">
      <c r="A1243" s="20" t="s">
        <v>6931</v>
      </c>
      <c r="B1243" s="21" t="s">
        <v>6924</v>
      </c>
      <c r="C1243" s="21" t="s">
        <v>6925</v>
      </c>
      <c r="D1243" s="21" t="s">
        <v>52</v>
      </c>
      <c r="E1243" s="21" t="s">
        <v>6932</v>
      </c>
      <c r="F1243" s="21" t="s">
        <v>6933</v>
      </c>
      <c r="G1243" s="21"/>
    </row>
    <row r="1244" ht="15.75" customHeight="1">
      <c r="A1244" s="20" t="s">
        <v>6934</v>
      </c>
      <c r="B1244" s="21" t="s">
        <v>6935</v>
      </c>
      <c r="C1244" s="21" t="s">
        <v>6936</v>
      </c>
      <c r="D1244" s="21" t="s">
        <v>52</v>
      </c>
      <c r="E1244" s="21" t="s">
        <v>6937</v>
      </c>
      <c r="F1244" s="21" t="s">
        <v>6938</v>
      </c>
      <c r="G1244" s="21"/>
    </row>
    <row r="1245" ht="15.75" customHeight="1">
      <c r="A1245" s="20" t="s">
        <v>6939</v>
      </c>
      <c r="B1245" s="21" t="s">
        <v>6935</v>
      </c>
      <c r="C1245" s="21" t="s">
        <v>6936</v>
      </c>
      <c r="D1245" s="21" t="s">
        <v>52</v>
      </c>
      <c r="E1245" s="21" t="s">
        <v>6940</v>
      </c>
      <c r="F1245" s="21" t="s">
        <v>6941</v>
      </c>
      <c r="G1245" s="21"/>
    </row>
    <row r="1246" ht="15.75" customHeight="1">
      <c r="A1246" s="20" t="s">
        <v>6942</v>
      </c>
      <c r="B1246" s="21" t="s">
        <v>6935</v>
      </c>
      <c r="C1246" s="21" t="s">
        <v>6936</v>
      </c>
      <c r="D1246" s="21" t="s">
        <v>52</v>
      </c>
      <c r="E1246" s="21" t="s">
        <v>6943</v>
      </c>
      <c r="F1246" s="21" t="s">
        <v>6944</v>
      </c>
      <c r="G1246" s="21"/>
    </row>
    <row r="1247" ht="15.75" customHeight="1">
      <c r="A1247" s="20" t="s">
        <v>6945</v>
      </c>
      <c r="B1247" s="21" t="s">
        <v>6935</v>
      </c>
      <c r="C1247" s="21" t="s">
        <v>6936</v>
      </c>
      <c r="D1247" s="21" t="s">
        <v>52</v>
      </c>
      <c r="E1247" s="21" t="s">
        <v>6946</v>
      </c>
      <c r="F1247" s="21" t="s">
        <v>6947</v>
      </c>
      <c r="G1247" s="21"/>
    </row>
    <row r="1248" ht="15.75" customHeight="1">
      <c r="A1248" s="20" t="s">
        <v>6948</v>
      </c>
      <c r="B1248" s="21" t="s">
        <v>6949</v>
      </c>
      <c r="C1248" s="21" t="s">
        <v>1272</v>
      </c>
      <c r="D1248" s="21" t="s">
        <v>52</v>
      </c>
      <c r="E1248" s="21" t="s">
        <v>6950</v>
      </c>
      <c r="F1248" s="21" t="s">
        <v>6951</v>
      </c>
      <c r="G1248" s="21"/>
    </row>
    <row r="1249" ht="15.75" customHeight="1">
      <c r="A1249" s="20" t="s">
        <v>6952</v>
      </c>
      <c r="B1249" s="21" t="s">
        <v>1286</v>
      </c>
      <c r="C1249" s="21" t="s">
        <v>1288</v>
      </c>
      <c r="D1249" s="21" t="s">
        <v>52</v>
      </c>
      <c r="E1249" s="21" t="s">
        <v>6953</v>
      </c>
      <c r="F1249" s="21" t="s">
        <v>6954</v>
      </c>
      <c r="G1249" s="21"/>
    </row>
    <row r="1250" ht="15.75" customHeight="1">
      <c r="A1250" s="20" t="s">
        <v>6955</v>
      </c>
      <c r="B1250" s="21" t="s">
        <v>1437</v>
      </c>
      <c r="C1250" s="21" t="s">
        <v>1438</v>
      </c>
      <c r="D1250" s="21" t="s">
        <v>52</v>
      </c>
      <c r="E1250" s="21" t="s">
        <v>6956</v>
      </c>
      <c r="F1250" s="21" t="s">
        <v>6957</v>
      </c>
      <c r="G1250" s="21"/>
    </row>
    <row r="1251" ht="15.75" customHeight="1">
      <c r="A1251" s="20" t="s">
        <v>6958</v>
      </c>
      <c r="B1251" s="21" t="s">
        <v>1449</v>
      </c>
      <c r="C1251" s="21" t="s">
        <v>1450</v>
      </c>
      <c r="D1251" s="21" t="s">
        <v>52</v>
      </c>
      <c r="E1251" s="21" t="s">
        <v>6959</v>
      </c>
      <c r="F1251" s="21" t="s">
        <v>6960</v>
      </c>
      <c r="G1251" s="21"/>
    </row>
    <row r="1252" ht="15.75" customHeight="1">
      <c r="A1252" s="20" t="s">
        <v>6961</v>
      </c>
      <c r="B1252" s="21" t="s">
        <v>6962</v>
      </c>
      <c r="C1252" s="21" t="s">
        <v>6963</v>
      </c>
      <c r="D1252" s="21" t="s">
        <v>52</v>
      </c>
      <c r="E1252" s="21" t="s">
        <v>6964</v>
      </c>
      <c r="F1252" s="21" t="s">
        <v>6965</v>
      </c>
      <c r="G1252" s="21"/>
    </row>
    <row r="1253" ht="15.75" customHeight="1">
      <c r="A1253" s="20" t="s">
        <v>6966</v>
      </c>
      <c r="B1253" s="21" t="s">
        <v>6967</v>
      </c>
      <c r="C1253" s="21" t="s">
        <v>1438</v>
      </c>
      <c r="D1253" s="21" t="s">
        <v>52</v>
      </c>
      <c r="E1253" s="21" t="s">
        <v>6968</v>
      </c>
      <c r="F1253" s="21" t="s">
        <v>6969</v>
      </c>
      <c r="G1253" s="21"/>
    </row>
    <row r="1254" ht="15.75" customHeight="1">
      <c r="A1254" s="20" t="s">
        <v>6970</v>
      </c>
      <c r="B1254" s="21" t="s">
        <v>1766</v>
      </c>
      <c r="C1254" s="21" t="s">
        <v>6971</v>
      </c>
      <c r="D1254" s="21" t="s">
        <v>52</v>
      </c>
      <c r="E1254" s="21" t="s">
        <v>6972</v>
      </c>
      <c r="F1254" s="21" t="s">
        <v>6973</v>
      </c>
      <c r="G1254" s="21" t="s">
        <v>6974</v>
      </c>
    </row>
    <row r="1255" ht="15.75" customHeight="1">
      <c r="A1255" s="20" t="s">
        <v>6975</v>
      </c>
      <c r="B1255" s="21" t="s">
        <v>1766</v>
      </c>
      <c r="C1255" s="21" t="s">
        <v>6971</v>
      </c>
      <c r="D1255" s="21" t="s">
        <v>52</v>
      </c>
      <c r="E1255" s="21" t="s">
        <v>6976</v>
      </c>
      <c r="F1255" s="21" t="s">
        <v>6977</v>
      </c>
      <c r="G1255" s="21"/>
    </row>
    <row r="1256" ht="15.75" customHeight="1">
      <c r="A1256" s="20" t="s">
        <v>6978</v>
      </c>
      <c r="B1256" s="21" t="s">
        <v>1766</v>
      </c>
      <c r="C1256" s="21" t="s">
        <v>6971</v>
      </c>
      <c r="D1256" s="21" t="s">
        <v>52</v>
      </c>
      <c r="E1256" s="21" t="s">
        <v>6979</v>
      </c>
      <c r="F1256" s="21" t="s">
        <v>6980</v>
      </c>
      <c r="G1256" s="21" t="s">
        <v>6981</v>
      </c>
    </row>
    <row r="1257" ht="15.75" customHeight="1">
      <c r="A1257" s="20" t="s">
        <v>6982</v>
      </c>
      <c r="B1257" s="21" t="s">
        <v>1467</v>
      </c>
      <c r="C1257" s="21" t="s">
        <v>1468</v>
      </c>
      <c r="D1257" s="21" t="s">
        <v>52</v>
      </c>
      <c r="E1257" s="21" t="s">
        <v>6983</v>
      </c>
      <c r="F1257" s="21" t="s">
        <v>6984</v>
      </c>
      <c r="G1257" s="21"/>
    </row>
    <row r="1258" ht="15.75" customHeight="1">
      <c r="A1258" s="20" t="s">
        <v>6985</v>
      </c>
      <c r="B1258" s="21" t="s">
        <v>6986</v>
      </c>
      <c r="C1258" s="21" t="s">
        <v>6987</v>
      </c>
      <c r="D1258" s="21" t="s">
        <v>52</v>
      </c>
      <c r="E1258" s="21" t="s">
        <v>6988</v>
      </c>
      <c r="F1258" s="21" t="s">
        <v>6989</v>
      </c>
      <c r="G1258" s="21"/>
      <c r="H1258" s="9" t="s">
        <v>6990</v>
      </c>
    </row>
    <row r="1259" ht="15.75" customHeight="1">
      <c r="A1259" s="20" t="s">
        <v>6991</v>
      </c>
      <c r="B1259" s="21" t="s">
        <v>6992</v>
      </c>
      <c r="C1259" s="21" t="s">
        <v>6925</v>
      </c>
      <c r="D1259" s="21" t="s">
        <v>52</v>
      </c>
      <c r="E1259" s="21" t="s">
        <v>6993</v>
      </c>
      <c r="F1259" s="21" t="s">
        <v>6994</v>
      </c>
      <c r="G1259" s="21"/>
    </row>
    <row r="1260" ht="15.75" customHeight="1">
      <c r="A1260" s="20" t="s">
        <v>6995</v>
      </c>
      <c r="B1260" s="21" t="s">
        <v>1496</v>
      </c>
      <c r="C1260" s="21" t="s">
        <v>1497</v>
      </c>
      <c r="D1260" s="21" t="s">
        <v>52</v>
      </c>
      <c r="E1260" s="21" t="s">
        <v>6996</v>
      </c>
      <c r="F1260" s="21" t="s">
        <v>6997</v>
      </c>
      <c r="G1260" s="21"/>
    </row>
    <row r="1261" ht="15.75" customHeight="1">
      <c r="A1261" s="20" t="s">
        <v>6998</v>
      </c>
      <c r="B1261" s="21" t="s">
        <v>1513</v>
      </c>
      <c r="C1261" s="21" t="s">
        <v>1514</v>
      </c>
      <c r="D1261" s="21" t="s">
        <v>52</v>
      </c>
      <c r="E1261" s="21" t="s">
        <v>6999</v>
      </c>
      <c r="F1261" s="21" t="s">
        <v>7000</v>
      </c>
      <c r="G1261" s="21"/>
    </row>
    <row r="1262" ht="15.75" customHeight="1">
      <c r="A1262" s="20" t="s">
        <v>7001</v>
      </c>
      <c r="B1262" s="21" t="s">
        <v>1513</v>
      </c>
      <c r="C1262" s="21" t="s">
        <v>1514</v>
      </c>
      <c r="D1262" s="21" t="s">
        <v>52</v>
      </c>
      <c r="E1262" s="21" t="s">
        <v>7002</v>
      </c>
      <c r="F1262" s="21" t="s">
        <v>7003</v>
      </c>
      <c r="G1262" s="21"/>
    </row>
    <row r="1263" ht="15.75" customHeight="1">
      <c r="A1263" s="20" t="s">
        <v>7004</v>
      </c>
      <c r="B1263" s="21" t="s">
        <v>7005</v>
      </c>
      <c r="C1263" s="21" t="s">
        <v>7006</v>
      </c>
      <c r="D1263" s="21" t="s">
        <v>52</v>
      </c>
      <c r="E1263" s="21" t="s">
        <v>7007</v>
      </c>
      <c r="F1263" s="21" t="s">
        <v>7008</v>
      </c>
      <c r="G1263" s="21"/>
    </row>
    <row r="1264" ht="15.75" customHeight="1">
      <c r="A1264" s="20" t="s">
        <v>7009</v>
      </c>
      <c r="B1264" s="21" t="s">
        <v>7010</v>
      </c>
      <c r="C1264" s="21" t="s">
        <v>1457</v>
      </c>
      <c r="D1264" s="21" t="s">
        <v>52</v>
      </c>
      <c r="E1264" s="21" t="s">
        <v>7011</v>
      </c>
      <c r="F1264" s="21" t="s">
        <v>7012</v>
      </c>
      <c r="G1264" s="21"/>
    </row>
    <row r="1265" ht="15.75" customHeight="1">
      <c r="A1265" s="20" t="s">
        <v>7013</v>
      </c>
      <c r="B1265" s="21" t="s">
        <v>7014</v>
      </c>
      <c r="C1265" s="21" t="s">
        <v>1693</v>
      </c>
      <c r="D1265" s="21" t="s">
        <v>52</v>
      </c>
      <c r="E1265" s="21" t="s">
        <v>7015</v>
      </c>
      <c r="F1265" s="21" t="s">
        <v>7016</v>
      </c>
      <c r="G1265" s="21"/>
    </row>
    <row r="1266" ht="15.75" customHeight="1">
      <c r="A1266" s="20" t="s">
        <v>7017</v>
      </c>
      <c r="B1266" s="21" t="s">
        <v>7018</v>
      </c>
      <c r="C1266" s="21" t="s">
        <v>1362</v>
      </c>
      <c r="D1266" s="21" t="s">
        <v>52</v>
      </c>
      <c r="E1266" s="21" t="s">
        <v>7019</v>
      </c>
      <c r="F1266" s="21" t="s">
        <v>7020</v>
      </c>
      <c r="G1266" s="21"/>
    </row>
    <row r="1267" ht="15.75" customHeight="1">
      <c r="A1267" s="20" t="s">
        <v>7021</v>
      </c>
      <c r="B1267" s="21" t="s">
        <v>1545</v>
      </c>
      <c r="C1267" s="21" t="s">
        <v>1547</v>
      </c>
      <c r="D1267" s="21" t="s">
        <v>52</v>
      </c>
      <c r="E1267" s="21" t="s">
        <v>7022</v>
      </c>
      <c r="F1267" s="21" t="s">
        <v>7023</v>
      </c>
      <c r="G1267" s="21"/>
    </row>
    <row r="1268" ht="15.75" customHeight="1">
      <c r="A1268" s="20" t="s">
        <v>7024</v>
      </c>
      <c r="B1268" s="21" t="s">
        <v>1545</v>
      </c>
      <c r="C1268" s="21" t="s">
        <v>1547</v>
      </c>
      <c r="D1268" s="21" t="s">
        <v>52</v>
      </c>
      <c r="E1268" s="21" t="s">
        <v>7025</v>
      </c>
      <c r="F1268" s="21" t="s">
        <v>7026</v>
      </c>
      <c r="G1268" s="21"/>
    </row>
    <row r="1269" ht="15.75" customHeight="1">
      <c r="A1269" s="20" t="s">
        <v>7027</v>
      </c>
      <c r="B1269" s="21" t="s">
        <v>7028</v>
      </c>
      <c r="C1269" s="21" t="s">
        <v>7029</v>
      </c>
      <c r="D1269" s="21" t="s">
        <v>52</v>
      </c>
      <c r="E1269" s="21" t="s">
        <v>7030</v>
      </c>
      <c r="F1269" s="21" t="s">
        <v>7031</v>
      </c>
      <c r="G1269" s="21"/>
    </row>
    <row r="1270" ht="15.75" customHeight="1">
      <c r="A1270" s="20" t="s">
        <v>2486</v>
      </c>
      <c r="B1270" s="21" t="s">
        <v>2487</v>
      </c>
      <c r="C1270" s="21"/>
      <c r="D1270" s="21" t="s">
        <v>52</v>
      </c>
      <c r="E1270" s="21" t="s">
        <v>2488</v>
      </c>
      <c r="F1270" s="21" t="s">
        <v>7032</v>
      </c>
      <c r="G1270" s="21"/>
    </row>
    <row r="1271" ht="15.75" customHeight="1">
      <c r="A1271" s="20" t="s">
        <v>7033</v>
      </c>
      <c r="B1271" s="21" t="s">
        <v>7034</v>
      </c>
      <c r="C1271" s="21">
        <v>35500.0</v>
      </c>
      <c r="D1271" s="21" t="s">
        <v>52</v>
      </c>
      <c r="E1271" s="21" t="s">
        <v>7035</v>
      </c>
      <c r="F1271" s="21" t="s">
        <v>7036</v>
      </c>
      <c r="G1271" s="21" t="s">
        <v>287</v>
      </c>
      <c r="H1271" s="9" t="s">
        <v>7037</v>
      </c>
    </row>
    <row r="1272" ht="15.75" customHeight="1">
      <c r="A1272" s="20" t="s">
        <v>7033</v>
      </c>
      <c r="B1272" s="21" t="s">
        <v>7034</v>
      </c>
      <c r="C1272" s="21">
        <v>35500.0</v>
      </c>
      <c r="D1272" s="21" t="s">
        <v>52</v>
      </c>
      <c r="E1272" s="21" t="s">
        <v>7038</v>
      </c>
      <c r="F1272" s="21" t="s">
        <v>7036</v>
      </c>
      <c r="G1272" s="21" t="s">
        <v>287</v>
      </c>
    </row>
    <row r="1273" ht="15.75" customHeight="1">
      <c r="A1273" s="20" t="s">
        <v>7039</v>
      </c>
      <c r="B1273" s="21" t="s">
        <v>1349</v>
      </c>
      <c r="C1273" s="21" t="s">
        <v>1351</v>
      </c>
      <c r="D1273" s="21" t="s">
        <v>52</v>
      </c>
      <c r="E1273" s="21" t="s">
        <v>7040</v>
      </c>
      <c r="F1273" s="21" t="s">
        <v>7041</v>
      </c>
      <c r="G1273" s="21"/>
    </row>
    <row r="1274" ht="15.75" customHeight="1">
      <c r="A1274" s="20" t="s">
        <v>2470</v>
      </c>
      <c r="B1274" s="21" t="s">
        <v>1349</v>
      </c>
      <c r="C1274" s="21" t="s">
        <v>1351</v>
      </c>
      <c r="D1274" s="21" t="s">
        <v>52</v>
      </c>
      <c r="E1274" s="21" t="s">
        <v>2471</v>
      </c>
      <c r="F1274" s="21" t="s">
        <v>7042</v>
      </c>
      <c r="G1274" s="21"/>
    </row>
    <row r="1275" ht="15.75" customHeight="1">
      <c r="A1275" s="20" t="s">
        <v>7043</v>
      </c>
      <c r="B1275" s="21" t="s">
        <v>1349</v>
      </c>
      <c r="C1275" s="21" t="s">
        <v>1603</v>
      </c>
      <c r="D1275" s="21" t="s">
        <v>52</v>
      </c>
      <c r="E1275" s="21" t="s">
        <v>7044</v>
      </c>
      <c r="F1275" s="21" t="s">
        <v>7045</v>
      </c>
      <c r="G1275" s="21"/>
    </row>
    <row r="1276" ht="15.75" customHeight="1">
      <c r="A1276" s="20" t="s">
        <v>3427</v>
      </c>
      <c r="B1276" s="21" t="s">
        <v>1349</v>
      </c>
      <c r="C1276" s="21" t="s">
        <v>1351</v>
      </c>
      <c r="D1276" s="21" t="s">
        <v>52</v>
      </c>
      <c r="E1276" s="21" t="s">
        <v>7046</v>
      </c>
      <c r="F1276" s="21" t="s">
        <v>7047</v>
      </c>
      <c r="G1276" s="21"/>
    </row>
    <row r="1277" ht="15.75" customHeight="1">
      <c r="A1277" s="20" t="s">
        <v>7048</v>
      </c>
      <c r="B1277" s="21" t="s">
        <v>1349</v>
      </c>
      <c r="C1277" s="21" t="s">
        <v>1351</v>
      </c>
      <c r="D1277" s="21" t="s">
        <v>52</v>
      </c>
      <c r="E1277" s="21" t="s">
        <v>7049</v>
      </c>
      <c r="F1277" s="21" t="s">
        <v>7050</v>
      </c>
      <c r="G1277" s="21"/>
    </row>
    <row r="1278" ht="15.75" customHeight="1">
      <c r="A1278" s="20" t="s">
        <v>7051</v>
      </c>
      <c r="B1278" s="21" t="s">
        <v>1349</v>
      </c>
      <c r="C1278" s="21" t="s">
        <v>1351</v>
      </c>
      <c r="D1278" s="21" t="s">
        <v>52</v>
      </c>
      <c r="E1278" s="21" t="s">
        <v>7052</v>
      </c>
      <c r="F1278" s="21" t="s">
        <v>7053</v>
      </c>
      <c r="G1278" s="21"/>
    </row>
    <row r="1279" ht="15.75" customHeight="1">
      <c r="A1279" s="20" t="s">
        <v>2474</v>
      </c>
      <c r="B1279" s="21" t="s">
        <v>1349</v>
      </c>
      <c r="C1279" s="21" t="s">
        <v>1351</v>
      </c>
      <c r="D1279" s="21" t="s">
        <v>52</v>
      </c>
      <c r="E1279" s="21" t="s">
        <v>7054</v>
      </c>
      <c r="F1279" s="21" t="s">
        <v>7055</v>
      </c>
      <c r="G1279" s="21"/>
    </row>
    <row r="1280" ht="15.75" customHeight="1">
      <c r="A1280" s="20" t="s">
        <v>7056</v>
      </c>
      <c r="B1280" s="21" t="s">
        <v>1349</v>
      </c>
      <c r="C1280" s="21" t="s">
        <v>1351</v>
      </c>
      <c r="D1280" s="21" t="s">
        <v>52</v>
      </c>
      <c r="E1280" s="21" t="s">
        <v>7057</v>
      </c>
      <c r="F1280" s="21" t="s">
        <v>7058</v>
      </c>
      <c r="G1280" s="21"/>
    </row>
    <row r="1281" ht="15.75" customHeight="1">
      <c r="A1281" s="20" t="s">
        <v>7059</v>
      </c>
      <c r="B1281" s="21" t="s">
        <v>1349</v>
      </c>
      <c r="C1281" s="21" t="s">
        <v>1351</v>
      </c>
      <c r="D1281" s="21" t="s">
        <v>52</v>
      </c>
      <c r="E1281" s="21" t="s">
        <v>7060</v>
      </c>
      <c r="F1281" s="21" t="s">
        <v>7061</v>
      </c>
      <c r="G1281" s="21"/>
    </row>
    <row r="1282" ht="15.75" customHeight="1">
      <c r="A1282" s="20" t="s">
        <v>7062</v>
      </c>
      <c r="B1282" s="21" t="s">
        <v>1349</v>
      </c>
      <c r="C1282" s="21" t="s">
        <v>1351</v>
      </c>
      <c r="D1282" s="21" t="s">
        <v>52</v>
      </c>
      <c r="E1282" s="21" t="s">
        <v>7063</v>
      </c>
      <c r="F1282" s="21" t="s">
        <v>7064</v>
      </c>
      <c r="G1282" s="21"/>
    </row>
    <row r="1283" ht="15.75" customHeight="1">
      <c r="A1283" s="20" t="s">
        <v>7065</v>
      </c>
      <c r="B1283" s="21" t="s">
        <v>1349</v>
      </c>
      <c r="C1283" s="21" t="s">
        <v>1351</v>
      </c>
      <c r="D1283" s="21" t="s">
        <v>52</v>
      </c>
      <c r="E1283" s="21" t="s">
        <v>7066</v>
      </c>
      <c r="F1283" s="21" t="s">
        <v>7067</v>
      </c>
      <c r="G1283" s="21"/>
    </row>
    <row r="1284" ht="15.75" customHeight="1">
      <c r="A1284" s="20" t="s">
        <v>7068</v>
      </c>
      <c r="B1284" s="21" t="s">
        <v>1349</v>
      </c>
      <c r="C1284" s="21" t="s">
        <v>1351</v>
      </c>
      <c r="D1284" s="21" t="s">
        <v>52</v>
      </c>
      <c r="E1284" s="21" t="s">
        <v>7069</v>
      </c>
      <c r="F1284" s="21" t="s">
        <v>7070</v>
      </c>
      <c r="G1284" s="21"/>
    </row>
    <row r="1285" ht="15.75" customHeight="1">
      <c r="A1285" s="20" t="s">
        <v>1473</v>
      </c>
      <c r="B1285" s="21" t="s">
        <v>1349</v>
      </c>
      <c r="C1285" s="21" t="s">
        <v>1351</v>
      </c>
      <c r="D1285" s="21" t="s">
        <v>52</v>
      </c>
      <c r="E1285" s="21" t="s">
        <v>7071</v>
      </c>
      <c r="F1285" s="21" t="s">
        <v>7072</v>
      </c>
      <c r="G1285" s="21"/>
    </row>
    <row r="1286" ht="15.75" customHeight="1">
      <c r="A1286" s="20" t="s">
        <v>7073</v>
      </c>
      <c r="B1286" s="21" t="s">
        <v>1349</v>
      </c>
      <c r="C1286" s="21" t="s">
        <v>1351</v>
      </c>
      <c r="D1286" s="21" t="s">
        <v>52</v>
      </c>
      <c r="E1286" s="21" t="s">
        <v>7074</v>
      </c>
      <c r="F1286" s="21" t="s">
        <v>7075</v>
      </c>
      <c r="G1286" s="21"/>
    </row>
    <row r="1287" ht="15.75" customHeight="1">
      <c r="A1287" s="20" t="s">
        <v>7076</v>
      </c>
      <c r="B1287" s="21" t="s">
        <v>1349</v>
      </c>
      <c r="C1287" s="21" t="s">
        <v>1351</v>
      </c>
      <c r="D1287" s="21" t="s">
        <v>52</v>
      </c>
      <c r="E1287" s="21" t="s">
        <v>7077</v>
      </c>
      <c r="F1287" s="21" t="s">
        <v>7078</v>
      </c>
      <c r="G1287" s="21"/>
    </row>
    <row r="1288" ht="15.75" customHeight="1">
      <c r="A1288" s="20" t="s">
        <v>7079</v>
      </c>
      <c r="B1288" s="21" t="s">
        <v>1349</v>
      </c>
      <c r="C1288" s="21" t="s">
        <v>1351</v>
      </c>
      <c r="D1288" s="21" t="s">
        <v>52</v>
      </c>
      <c r="E1288" s="21" t="s">
        <v>7080</v>
      </c>
      <c r="F1288" s="21" t="s">
        <v>7081</v>
      </c>
      <c r="G1288" s="21"/>
    </row>
    <row r="1289" ht="15.75" customHeight="1">
      <c r="A1289" s="20" t="s">
        <v>7082</v>
      </c>
      <c r="B1289" s="21" t="s">
        <v>1349</v>
      </c>
      <c r="C1289" s="21" t="s">
        <v>1351</v>
      </c>
      <c r="D1289" s="21" t="s">
        <v>52</v>
      </c>
      <c r="E1289" s="21" t="s">
        <v>7083</v>
      </c>
      <c r="F1289" s="21" t="s">
        <v>7084</v>
      </c>
      <c r="G1289" s="21"/>
    </row>
    <row r="1290" ht="15.75" customHeight="1">
      <c r="A1290" s="20" t="s">
        <v>7085</v>
      </c>
      <c r="B1290" s="21" t="s">
        <v>1349</v>
      </c>
      <c r="C1290" s="21" t="s">
        <v>1351</v>
      </c>
      <c r="D1290" s="21" t="s">
        <v>52</v>
      </c>
      <c r="E1290" s="21" t="s">
        <v>7086</v>
      </c>
      <c r="F1290" s="21" t="s">
        <v>7087</v>
      </c>
      <c r="G1290" s="21"/>
    </row>
    <row r="1291" ht="15.75" customHeight="1">
      <c r="A1291" s="20" t="s">
        <v>7088</v>
      </c>
      <c r="B1291" s="21" t="s">
        <v>1349</v>
      </c>
      <c r="C1291" s="21" t="s">
        <v>1351</v>
      </c>
      <c r="D1291" s="21" t="s">
        <v>52</v>
      </c>
      <c r="E1291" s="21" t="s">
        <v>7089</v>
      </c>
      <c r="F1291" s="21" t="s">
        <v>7090</v>
      </c>
      <c r="G1291" s="21"/>
    </row>
    <row r="1292" ht="15.75" customHeight="1">
      <c r="A1292" s="20" t="s">
        <v>7091</v>
      </c>
      <c r="B1292" s="21" t="s">
        <v>1349</v>
      </c>
      <c r="C1292" s="21" t="s">
        <v>1351</v>
      </c>
      <c r="D1292" s="21" t="s">
        <v>52</v>
      </c>
      <c r="E1292" s="21" t="s">
        <v>7092</v>
      </c>
      <c r="F1292" s="21" t="s">
        <v>7093</v>
      </c>
      <c r="G1292" s="21"/>
    </row>
    <row r="1293" ht="15.75" customHeight="1">
      <c r="A1293" s="20" t="s">
        <v>7094</v>
      </c>
      <c r="B1293" s="21" t="s">
        <v>1349</v>
      </c>
      <c r="C1293" s="21" t="s">
        <v>1351</v>
      </c>
      <c r="D1293" s="21" t="s">
        <v>52</v>
      </c>
      <c r="E1293" s="21" t="s">
        <v>7095</v>
      </c>
      <c r="F1293" s="21" t="s">
        <v>7096</v>
      </c>
      <c r="G1293" s="21"/>
    </row>
    <row r="1294" ht="15.75" customHeight="1">
      <c r="A1294" s="20" t="s">
        <v>7097</v>
      </c>
      <c r="B1294" s="21" t="s">
        <v>1349</v>
      </c>
      <c r="C1294" s="21" t="s">
        <v>1611</v>
      </c>
      <c r="D1294" s="21" t="s">
        <v>52</v>
      </c>
      <c r="E1294" s="21" t="s">
        <v>7098</v>
      </c>
      <c r="F1294" s="21" t="s">
        <v>7099</v>
      </c>
      <c r="G1294" s="21"/>
    </row>
    <row r="1295" ht="15.75" customHeight="1">
      <c r="A1295" s="20" t="s">
        <v>7100</v>
      </c>
      <c r="B1295" s="21" t="s">
        <v>1349</v>
      </c>
      <c r="C1295" s="21" t="s">
        <v>1603</v>
      </c>
      <c r="D1295" s="21" t="s">
        <v>52</v>
      </c>
      <c r="E1295" s="21" t="s">
        <v>7101</v>
      </c>
      <c r="F1295" s="21" t="s">
        <v>7102</v>
      </c>
      <c r="G1295" s="21"/>
    </row>
    <row r="1296" ht="15.75" customHeight="1">
      <c r="A1296" s="20" t="s">
        <v>7103</v>
      </c>
      <c r="B1296" s="21" t="s">
        <v>1349</v>
      </c>
      <c r="C1296" s="21" t="s">
        <v>1351</v>
      </c>
      <c r="D1296" s="21" t="s">
        <v>52</v>
      </c>
      <c r="E1296" s="21" t="s">
        <v>7104</v>
      </c>
      <c r="F1296" s="21" t="s">
        <v>7105</v>
      </c>
      <c r="G1296" s="21"/>
    </row>
    <row r="1297" ht="15.75" customHeight="1">
      <c r="A1297" s="20" t="s">
        <v>7106</v>
      </c>
      <c r="B1297" s="21" t="s">
        <v>1349</v>
      </c>
      <c r="C1297" s="21" t="s">
        <v>1351</v>
      </c>
      <c r="D1297" s="21" t="s">
        <v>52</v>
      </c>
      <c r="E1297" s="21" t="s">
        <v>7107</v>
      </c>
      <c r="F1297" s="21" t="s">
        <v>7108</v>
      </c>
      <c r="G1297" s="21"/>
    </row>
    <row r="1298" ht="15.75" customHeight="1">
      <c r="A1298" s="20" t="s">
        <v>7109</v>
      </c>
      <c r="B1298" s="21" t="s">
        <v>1349</v>
      </c>
      <c r="C1298" s="21" t="s">
        <v>1611</v>
      </c>
      <c r="D1298" s="21" t="s">
        <v>52</v>
      </c>
      <c r="E1298" s="21" t="s">
        <v>7110</v>
      </c>
      <c r="F1298" s="21" t="s">
        <v>7111</v>
      </c>
      <c r="G1298" s="21"/>
    </row>
    <row r="1299" ht="15.75" customHeight="1">
      <c r="A1299" s="20" t="s">
        <v>7112</v>
      </c>
      <c r="B1299" s="21" t="s">
        <v>1349</v>
      </c>
      <c r="C1299" s="21">
        <v>35200.0</v>
      </c>
      <c r="D1299" s="21" t="s">
        <v>52</v>
      </c>
      <c r="E1299" s="21" t="s">
        <v>7113</v>
      </c>
      <c r="F1299" s="21" t="s">
        <v>7114</v>
      </c>
      <c r="G1299" s="21"/>
    </row>
    <row r="1300" ht="15.75" customHeight="1">
      <c r="A1300" s="20" t="s">
        <v>7115</v>
      </c>
      <c r="B1300" s="21" t="s">
        <v>1692</v>
      </c>
      <c r="C1300" s="21" t="s">
        <v>1693</v>
      </c>
      <c r="D1300" s="21" t="s">
        <v>52</v>
      </c>
      <c r="E1300" s="21" t="s">
        <v>7116</v>
      </c>
      <c r="F1300" s="21" t="s">
        <v>7117</v>
      </c>
      <c r="G1300" s="21"/>
    </row>
    <row r="1301" ht="15.75" customHeight="1">
      <c r="A1301" s="20" t="s">
        <v>7118</v>
      </c>
      <c r="B1301" s="21" t="s">
        <v>1692</v>
      </c>
      <c r="C1301" s="21" t="s">
        <v>1693</v>
      </c>
      <c r="D1301" s="21" t="s">
        <v>52</v>
      </c>
      <c r="E1301" s="21" t="s">
        <v>7119</v>
      </c>
      <c r="F1301" s="21" t="s">
        <v>7120</v>
      </c>
      <c r="G1301" s="21"/>
    </row>
    <row r="1302" ht="15.75" customHeight="1">
      <c r="A1302" s="20" t="s">
        <v>7121</v>
      </c>
      <c r="B1302" s="21" t="s">
        <v>1692</v>
      </c>
      <c r="C1302" s="21" t="s">
        <v>1693</v>
      </c>
      <c r="D1302" s="21" t="s">
        <v>52</v>
      </c>
      <c r="E1302" s="21" t="s">
        <v>7122</v>
      </c>
      <c r="F1302" s="21" t="s">
        <v>7123</v>
      </c>
      <c r="G1302" s="21"/>
    </row>
    <row r="1303" ht="15.75" customHeight="1">
      <c r="A1303" s="20" t="s">
        <v>7124</v>
      </c>
      <c r="B1303" s="21" t="s">
        <v>1699</v>
      </c>
      <c r="C1303" s="21" t="s">
        <v>1700</v>
      </c>
      <c r="D1303" s="21" t="s">
        <v>52</v>
      </c>
      <c r="E1303" s="21" t="s">
        <v>7125</v>
      </c>
      <c r="F1303" s="21" t="s">
        <v>7126</v>
      </c>
      <c r="G1303" s="21"/>
    </row>
    <row r="1304" ht="15.75" customHeight="1">
      <c r="A1304" s="20" t="s">
        <v>7127</v>
      </c>
      <c r="B1304" s="21" t="s">
        <v>7128</v>
      </c>
      <c r="C1304" s="21" t="s">
        <v>7129</v>
      </c>
      <c r="D1304" s="21" t="s">
        <v>52</v>
      </c>
      <c r="E1304" s="21" t="s">
        <v>7130</v>
      </c>
      <c r="F1304" s="21" t="s">
        <v>7131</v>
      </c>
      <c r="G1304" s="21"/>
    </row>
    <row r="1305" ht="15.75" customHeight="1">
      <c r="A1305" s="20" t="s">
        <v>7132</v>
      </c>
      <c r="B1305" s="21" t="s">
        <v>1370</v>
      </c>
      <c r="C1305" s="21" t="s">
        <v>1371</v>
      </c>
      <c r="D1305" s="21" t="s">
        <v>52</v>
      </c>
      <c r="E1305" s="21" t="s">
        <v>7133</v>
      </c>
      <c r="F1305" s="21" t="s">
        <v>7134</v>
      </c>
      <c r="G1305" s="21"/>
    </row>
    <row r="1306" ht="15.75" customHeight="1">
      <c r="A1306" s="20" t="s">
        <v>7073</v>
      </c>
      <c r="B1306" s="21" t="s">
        <v>1370</v>
      </c>
      <c r="C1306" s="21" t="s">
        <v>1371</v>
      </c>
      <c r="D1306" s="21" t="s">
        <v>52</v>
      </c>
      <c r="E1306" s="21" t="s">
        <v>7135</v>
      </c>
      <c r="F1306" s="21" t="s">
        <v>7136</v>
      </c>
      <c r="G1306" s="21"/>
    </row>
    <row r="1307" ht="15.75" customHeight="1">
      <c r="A1307" s="20" t="s">
        <v>7137</v>
      </c>
      <c r="B1307" s="21" t="s">
        <v>1370</v>
      </c>
      <c r="C1307" s="21" t="s">
        <v>1371</v>
      </c>
      <c r="D1307" s="21" t="s">
        <v>52</v>
      </c>
      <c r="E1307" s="21" t="s">
        <v>7138</v>
      </c>
      <c r="F1307" s="21" t="s">
        <v>7139</v>
      </c>
      <c r="G1307" s="21"/>
    </row>
    <row r="1308" ht="15.75" customHeight="1">
      <c r="A1308" s="20" t="s">
        <v>7140</v>
      </c>
      <c r="B1308" s="21" t="s">
        <v>7141</v>
      </c>
      <c r="C1308" s="21" t="s">
        <v>7142</v>
      </c>
      <c r="D1308" s="21" t="s">
        <v>52</v>
      </c>
      <c r="E1308" s="21" t="s">
        <v>7143</v>
      </c>
      <c r="F1308" s="21" t="s">
        <v>7144</v>
      </c>
      <c r="G1308" s="21"/>
    </row>
    <row r="1309" ht="15.75" customHeight="1">
      <c r="A1309" s="20" t="s">
        <v>7145</v>
      </c>
      <c r="B1309" s="21" t="s">
        <v>7146</v>
      </c>
      <c r="C1309" s="21" t="s">
        <v>7147</v>
      </c>
      <c r="D1309" s="21" t="s">
        <v>52</v>
      </c>
      <c r="E1309" s="21" t="s">
        <v>7148</v>
      </c>
      <c r="F1309" s="21" t="s">
        <v>7149</v>
      </c>
      <c r="G1309" s="21"/>
    </row>
    <row r="1310" ht="15.75" customHeight="1">
      <c r="A1310" s="20" t="s">
        <v>7150</v>
      </c>
      <c r="B1310" s="21" t="s">
        <v>1659</v>
      </c>
      <c r="C1310" s="21" t="s">
        <v>7151</v>
      </c>
      <c r="D1310" s="21" t="s">
        <v>52</v>
      </c>
      <c r="E1310" s="21" t="s">
        <v>7152</v>
      </c>
      <c r="F1310" s="21" t="s">
        <v>7153</v>
      </c>
      <c r="G1310" s="21"/>
    </row>
    <row r="1311" ht="15.75" customHeight="1">
      <c r="A1311" s="20" t="s">
        <v>7154</v>
      </c>
      <c r="B1311" s="21" t="s">
        <v>1234</v>
      </c>
      <c r="C1311" s="21" t="s">
        <v>1731</v>
      </c>
      <c r="D1311" s="21" t="s">
        <v>52</v>
      </c>
      <c r="E1311" s="21" t="s">
        <v>7155</v>
      </c>
      <c r="F1311" s="21" t="s">
        <v>7156</v>
      </c>
      <c r="G1311" s="21"/>
    </row>
    <row r="1312" ht="15.75" customHeight="1">
      <c r="A1312" s="20" t="s">
        <v>7157</v>
      </c>
      <c r="B1312" s="21" t="s">
        <v>1234</v>
      </c>
      <c r="C1312" s="21" t="s">
        <v>1731</v>
      </c>
      <c r="D1312" s="21" t="s">
        <v>52</v>
      </c>
      <c r="E1312" s="21" t="s">
        <v>7158</v>
      </c>
      <c r="F1312" s="21" t="s">
        <v>7159</v>
      </c>
      <c r="G1312" s="21"/>
    </row>
    <row r="1313" ht="15.75" customHeight="1">
      <c r="A1313" s="20"/>
      <c r="B1313" s="21"/>
      <c r="C1313" s="21"/>
      <c r="D1313" s="21"/>
      <c r="E1313" s="21"/>
      <c r="F1313" s="21"/>
      <c r="G1313" s="21"/>
    </row>
    <row r="1314" ht="15.75" customHeight="1">
      <c r="A1314" s="2" t="s">
        <v>7160</v>
      </c>
      <c r="B1314" s="6" t="s">
        <v>1752</v>
      </c>
      <c r="C1314" s="6" t="s">
        <v>1822</v>
      </c>
      <c r="D1314" s="6" t="s">
        <v>37</v>
      </c>
      <c r="E1314" s="6" t="s">
        <v>7161</v>
      </c>
      <c r="F1314" s="6" t="s">
        <v>7162</v>
      </c>
      <c r="G1314" s="6"/>
    </row>
    <row r="1315" ht="15.75" customHeight="1">
      <c r="A1315" s="2" t="s">
        <v>7163</v>
      </c>
      <c r="B1315" s="6" t="s">
        <v>7164</v>
      </c>
      <c r="C1315" s="6" t="s">
        <v>7165</v>
      </c>
      <c r="D1315" s="6" t="s">
        <v>37</v>
      </c>
      <c r="E1315" s="6" t="s">
        <v>7166</v>
      </c>
      <c r="F1315" s="6" t="s">
        <v>7167</v>
      </c>
      <c r="G1315" s="6" t="s">
        <v>7168</v>
      </c>
    </row>
    <row r="1316" ht="15.75" customHeight="1">
      <c r="A1316" s="20" t="s">
        <v>2366</v>
      </c>
      <c r="B1316" s="21"/>
      <c r="C1316" s="21"/>
      <c r="D1316" s="21" t="s">
        <v>37</v>
      </c>
      <c r="E1316" s="21" t="s">
        <v>7169</v>
      </c>
      <c r="F1316" s="21" t="s">
        <v>7170</v>
      </c>
      <c r="G1316" s="21"/>
    </row>
    <row r="1317" ht="15.75" customHeight="1">
      <c r="A1317" s="20" t="s">
        <v>7171</v>
      </c>
      <c r="B1317" s="21"/>
      <c r="C1317" s="21"/>
      <c r="D1317" s="21" t="s">
        <v>37</v>
      </c>
      <c r="E1317" s="21" t="s">
        <v>7172</v>
      </c>
      <c r="F1317" s="21" t="s">
        <v>7173</v>
      </c>
      <c r="G1317" s="21"/>
    </row>
    <row r="1318" ht="15.75" customHeight="1">
      <c r="A1318" s="20" t="s">
        <v>7174</v>
      </c>
      <c r="B1318" s="21"/>
      <c r="C1318" s="21"/>
      <c r="D1318" s="21" t="s">
        <v>37</v>
      </c>
      <c r="E1318" s="21" t="s">
        <v>7175</v>
      </c>
      <c r="F1318" s="21" t="s">
        <v>7176</v>
      </c>
      <c r="G1318" s="21"/>
    </row>
    <row r="1319" ht="15.75" customHeight="1">
      <c r="A1319" s="20" t="s">
        <v>7177</v>
      </c>
      <c r="B1319" s="21" t="s">
        <v>7178</v>
      </c>
      <c r="C1319" s="21" t="s">
        <v>7179</v>
      </c>
      <c r="D1319" s="21" t="s">
        <v>37</v>
      </c>
      <c r="E1319" s="21" t="s">
        <v>7180</v>
      </c>
      <c r="F1319" s="21" t="s">
        <v>7181</v>
      </c>
      <c r="G1319" s="21"/>
    </row>
    <row r="1320" ht="15.75" customHeight="1">
      <c r="A1320" s="20" t="s">
        <v>7182</v>
      </c>
      <c r="B1320" s="21" t="s">
        <v>7183</v>
      </c>
      <c r="C1320" s="21" t="s">
        <v>7184</v>
      </c>
      <c r="D1320" s="21" t="s">
        <v>37</v>
      </c>
      <c r="E1320" s="21" t="s">
        <v>7185</v>
      </c>
      <c r="F1320" s="21" t="s">
        <v>7186</v>
      </c>
      <c r="G1320" s="21"/>
    </row>
    <row r="1321" ht="15.75" customHeight="1">
      <c r="A1321" s="20" t="s">
        <v>7187</v>
      </c>
      <c r="B1321" s="21" t="s">
        <v>1764</v>
      </c>
      <c r="C1321" s="21" t="s">
        <v>7188</v>
      </c>
      <c r="D1321" s="21" t="s">
        <v>37</v>
      </c>
      <c r="E1321" s="21" t="s">
        <v>7189</v>
      </c>
      <c r="F1321" s="21" t="s">
        <v>7190</v>
      </c>
      <c r="G1321" s="21"/>
    </row>
    <row r="1322" ht="15.75" customHeight="1">
      <c r="A1322" s="20" t="s">
        <v>7191</v>
      </c>
      <c r="B1322" s="21" t="s">
        <v>7192</v>
      </c>
      <c r="C1322" s="21" t="s">
        <v>7193</v>
      </c>
      <c r="D1322" s="21" t="s">
        <v>37</v>
      </c>
      <c r="E1322" s="21" t="s">
        <v>7194</v>
      </c>
      <c r="F1322" s="21" t="s">
        <v>7195</v>
      </c>
      <c r="G1322" s="21"/>
    </row>
    <row r="1323" ht="15.75" customHeight="1">
      <c r="A1323" s="20" t="s">
        <v>7196</v>
      </c>
      <c r="B1323" s="21" t="s">
        <v>7197</v>
      </c>
      <c r="C1323" s="21" t="s">
        <v>7198</v>
      </c>
      <c r="D1323" s="21" t="s">
        <v>37</v>
      </c>
      <c r="E1323" s="21" t="s">
        <v>7199</v>
      </c>
      <c r="F1323" s="21" t="s">
        <v>7200</v>
      </c>
      <c r="G1323" s="21"/>
    </row>
    <row r="1324" ht="15.75" customHeight="1">
      <c r="A1324" s="20" t="s">
        <v>7201</v>
      </c>
      <c r="B1324" s="21" t="s">
        <v>1744</v>
      </c>
      <c r="C1324" s="21" t="s">
        <v>7202</v>
      </c>
      <c r="D1324" s="21" t="s">
        <v>37</v>
      </c>
      <c r="E1324" s="21" t="s">
        <v>7203</v>
      </c>
      <c r="F1324" s="21" t="s">
        <v>7204</v>
      </c>
      <c r="G1324" s="21"/>
    </row>
    <row r="1325" ht="15.75" customHeight="1">
      <c r="A1325" s="20" t="s">
        <v>7205</v>
      </c>
      <c r="B1325" s="21" t="s">
        <v>7206</v>
      </c>
      <c r="C1325" s="21" t="s">
        <v>7207</v>
      </c>
      <c r="D1325" s="21" t="s">
        <v>37</v>
      </c>
      <c r="E1325" s="21" t="s">
        <v>7208</v>
      </c>
      <c r="F1325" s="21" t="s">
        <v>7209</v>
      </c>
      <c r="G1325" s="21"/>
    </row>
    <row r="1326" ht="15.75" customHeight="1">
      <c r="A1326" s="20" t="s">
        <v>7210</v>
      </c>
      <c r="B1326" s="21" t="s">
        <v>7211</v>
      </c>
      <c r="C1326" s="21" t="s">
        <v>7212</v>
      </c>
      <c r="D1326" s="21" t="s">
        <v>37</v>
      </c>
      <c r="E1326" s="21" t="s">
        <v>7213</v>
      </c>
      <c r="F1326" s="21" t="s">
        <v>7214</v>
      </c>
      <c r="G1326" s="21"/>
    </row>
    <row r="1327" ht="15.75" customHeight="1">
      <c r="A1327" s="20" t="s">
        <v>7215</v>
      </c>
      <c r="B1327" s="21" t="s">
        <v>7216</v>
      </c>
      <c r="C1327" s="21" t="s">
        <v>7165</v>
      </c>
      <c r="D1327" s="21" t="s">
        <v>37</v>
      </c>
      <c r="E1327" s="21" t="s">
        <v>7217</v>
      </c>
      <c r="F1327" s="21"/>
      <c r="G1327" s="21"/>
    </row>
    <row r="1328" ht="15.75" customHeight="1">
      <c r="A1328" s="20" t="s">
        <v>7218</v>
      </c>
      <c r="B1328" s="21" t="s">
        <v>7216</v>
      </c>
      <c r="C1328" s="21" t="s">
        <v>7165</v>
      </c>
      <c r="D1328" s="21" t="s">
        <v>37</v>
      </c>
      <c r="E1328" s="21" t="s">
        <v>7219</v>
      </c>
      <c r="F1328" s="21" t="s">
        <v>7220</v>
      </c>
      <c r="G1328" s="21"/>
    </row>
    <row r="1329" ht="15.75" customHeight="1">
      <c r="A1329" s="20" t="s">
        <v>7221</v>
      </c>
      <c r="B1329" s="21" t="s">
        <v>1405</v>
      </c>
      <c r="C1329" s="21" t="s">
        <v>1406</v>
      </c>
      <c r="D1329" s="21" t="s">
        <v>37</v>
      </c>
      <c r="E1329" s="21" t="s">
        <v>7222</v>
      </c>
      <c r="F1329" s="21" t="s">
        <v>7223</v>
      </c>
      <c r="G1329" s="21"/>
    </row>
    <row r="1330" ht="15.75" customHeight="1">
      <c r="A1330" s="20" t="s">
        <v>7224</v>
      </c>
      <c r="B1330" s="21" t="s">
        <v>1405</v>
      </c>
      <c r="C1330" s="21" t="s">
        <v>1406</v>
      </c>
      <c r="D1330" s="21" t="s">
        <v>37</v>
      </c>
      <c r="E1330" s="21" t="s">
        <v>7225</v>
      </c>
      <c r="F1330" s="21" t="s">
        <v>7226</v>
      </c>
      <c r="G1330" s="21"/>
    </row>
    <row r="1331" ht="15.75" customHeight="1">
      <c r="A1331" s="20" t="s">
        <v>7227</v>
      </c>
      <c r="B1331" s="21" t="s">
        <v>7228</v>
      </c>
      <c r="C1331" s="21" t="s">
        <v>7212</v>
      </c>
      <c r="D1331" s="21" t="s">
        <v>37</v>
      </c>
      <c r="E1331" s="21" t="s">
        <v>7229</v>
      </c>
      <c r="F1331" s="21" t="s">
        <v>7230</v>
      </c>
      <c r="G1331" s="21"/>
    </row>
    <row r="1332" ht="15.75" customHeight="1">
      <c r="A1332" s="20" t="s">
        <v>7231</v>
      </c>
      <c r="B1332" s="21" t="s">
        <v>7232</v>
      </c>
      <c r="C1332" s="21" t="s">
        <v>7233</v>
      </c>
      <c r="D1332" s="21" t="s">
        <v>37</v>
      </c>
      <c r="E1332" s="21" t="s">
        <v>7234</v>
      </c>
      <c r="F1332" s="21" t="s">
        <v>7235</v>
      </c>
      <c r="G1332" s="21"/>
    </row>
    <row r="1333" ht="15.75" customHeight="1">
      <c r="A1333" s="20" t="s">
        <v>7236</v>
      </c>
      <c r="B1333" s="21" t="s">
        <v>7237</v>
      </c>
      <c r="C1333" s="21" t="s">
        <v>7238</v>
      </c>
      <c r="D1333" s="21" t="s">
        <v>37</v>
      </c>
      <c r="E1333" s="21" t="s">
        <v>7239</v>
      </c>
      <c r="F1333" s="21" t="s">
        <v>7240</v>
      </c>
      <c r="G1333" s="21"/>
    </row>
    <row r="1334" ht="15.75" customHeight="1">
      <c r="A1334" s="20" t="s">
        <v>7241</v>
      </c>
      <c r="B1334" s="21" t="s">
        <v>7242</v>
      </c>
      <c r="C1334" s="21" t="s">
        <v>7243</v>
      </c>
      <c r="D1334" s="21" t="s">
        <v>37</v>
      </c>
      <c r="E1334" s="21" t="s">
        <v>7244</v>
      </c>
      <c r="F1334" s="21" t="s">
        <v>7245</v>
      </c>
      <c r="G1334" s="21"/>
    </row>
    <row r="1335" ht="15.75" customHeight="1">
      <c r="A1335" s="20" t="s">
        <v>7246</v>
      </c>
      <c r="B1335" s="21" t="s">
        <v>7247</v>
      </c>
      <c r="C1335" s="21" t="s">
        <v>7248</v>
      </c>
      <c r="D1335" s="21" t="s">
        <v>37</v>
      </c>
      <c r="E1335" s="21" t="s">
        <v>7249</v>
      </c>
      <c r="F1335" s="21" t="s">
        <v>7250</v>
      </c>
      <c r="G1335" s="21"/>
    </row>
    <row r="1336" ht="15.75" customHeight="1">
      <c r="A1336" s="20" t="s">
        <v>7251</v>
      </c>
      <c r="B1336" s="21" t="s">
        <v>7247</v>
      </c>
      <c r="C1336" s="21" t="s">
        <v>7248</v>
      </c>
      <c r="D1336" s="21" t="s">
        <v>37</v>
      </c>
      <c r="E1336" s="21" t="s">
        <v>7252</v>
      </c>
      <c r="F1336" s="21" t="s">
        <v>7253</v>
      </c>
      <c r="G1336" s="21"/>
      <c r="H1336" s="9" t="s">
        <v>7254</v>
      </c>
    </row>
    <row r="1337" ht="15.75" customHeight="1">
      <c r="A1337" s="20" t="s">
        <v>7255</v>
      </c>
      <c r="B1337" s="21" t="s">
        <v>7247</v>
      </c>
      <c r="C1337" s="21" t="s">
        <v>7248</v>
      </c>
      <c r="D1337" s="21" t="s">
        <v>37</v>
      </c>
      <c r="E1337" s="21" t="s">
        <v>7256</v>
      </c>
      <c r="F1337" s="21" t="s">
        <v>7257</v>
      </c>
      <c r="G1337" s="21"/>
    </row>
    <row r="1338" ht="15.75" customHeight="1">
      <c r="A1338" s="20" t="s">
        <v>2567</v>
      </c>
      <c r="B1338" s="21" t="s">
        <v>7258</v>
      </c>
      <c r="C1338" s="21" t="s">
        <v>7248</v>
      </c>
      <c r="D1338" s="21" t="s">
        <v>37</v>
      </c>
      <c r="E1338" s="21" t="s">
        <v>7259</v>
      </c>
      <c r="F1338" s="21" t="s">
        <v>7260</v>
      </c>
      <c r="G1338" s="21"/>
      <c r="H1338" s="9" t="s">
        <v>7261</v>
      </c>
    </row>
    <row r="1339" ht="15.75" customHeight="1">
      <c r="A1339" s="20" t="s">
        <v>7262</v>
      </c>
      <c r="B1339" s="21" t="s">
        <v>7247</v>
      </c>
      <c r="C1339" s="21" t="s">
        <v>7248</v>
      </c>
      <c r="D1339" s="21" t="s">
        <v>37</v>
      </c>
      <c r="E1339" s="21" t="s">
        <v>7263</v>
      </c>
      <c r="F1339" s="21" t="s">
        <v>7264</v>
      </c>
      <c r="G1339" s="21"/>
    </row>
    <row r="1340" ht="15.75" customHeight="1">
      <c r="A1340" s="20" t="s">
        <v>7265</v>
      </c>
      <c r="B1340" s="21" t="s">
        <v>7247</v>
      </c>
      <c r="C1340" s="21" t="s">
        <v>7248</v>
      </c>
      <c r="D1340" s="21" t="s">
        <v>37</v>
      </c>
      <c r="E1340" s="21" t="s">
        <v>7266</v>
      </c>
      <c r="F1340" s="21" t="s">
        <v>7267</v>
      </c>
      <c r="G1340" s="21"/>
    </row>
    <row r="1341" ht="15.75" customHeight="1">
      <c r="A1341" s="20" t="s">
        <v>7268</v>
      </c>
      <c r="B1341" s="21" t="s">
        <v>7269</v>
      </c>
      <c r="C1341" s="21" t="s">
        <v>7179</v>
      </c>
      <c r="D1341" s="21" t="s">
        <v>37</v>
      </c>
      <c r="E1341" s="21" t="s">
        <v>7270</v>
      </c>
      <c r="F1341" s="21"/>
      <c r="G1341" s="21"/>
    </row>
    <row r="1342" ht="15.75" customHeight="1">
      <c r="A1342" s="20" t="s">
        <v>7271</v>
      </c>
      <c r="B1342" s="21" t="s">
        <v>7272</v>
      </c>
      <c r="C1342" s="21" t="s">
        <v>7273</v>
      </c>
      <c r="D1342" s="21" t="s">
        <v>37</v>
      </c>
      <c r="E1342" s="21" t="s">
        <v>7274</v>
      </c>
      <c r="F1342" s="21" t="s">
        <v>7275</v>
      </c>
      <c r="G1342" s="21"/>
    </row>
    <row r="1343" ht="15.75" customHeight="1">
      <c r="A1343" s="20" t="s">
        <v>7276</v>
      </c>
      <c r="B1343" s="21" t="s">
        <v>1752</v>
      </c>
      <c r="C1343" s="21" t="s">
        <v>1822</v>
      </c>
      <c r="D1343" s="21" t="s">
        <v>37</v>
      </c>
      <c r="E1343" s="21" t="s">
        <v>7277</v>
      </c>
      <c r="F1343" s="21" t="s">
        <v>7278</v>
      </c>
      <c r="G1343" s="21"/>
    </row>
    <row r="1344" ht="15.75" customHeight="1">
      <c r="A1344" s="20" t="s">
        <v>7279</v>
      </c>
      <c r="B1344" s="21" t="s">
        <v>1752</v>
      </c>
      <c r="C1344" s="21" t="s">
        <v>1822</v>
      </c>
      <c r="D1344" s="21" t="s">
        <v>37</v>
      </c>
      <c r="E1344" s="21" t="s">
        <v>7280</v>
      </c>
      <c r="F1344" s="21" t="s">
        <v>7281</v>
      </c>
      <c r="G1344" s="21"/>
    </row>
    <row r="1345" ht="15.75" customHeight="1">
      <c r="A1345" s="20" t="s">
        <v>7282</v>
      </c>
      <c r="B1345" s="21" t="s">
        <v>1752</v>
      </c>
      <c r="C1345" s="21" t="s">
        <v>1822</v>
      </c>
      <c r="D1345" s="21" t="s">
        <v>37</v>
      </c>
      <c r="E1345" s="21" t="s">
        <v>7283</v>
      </c>
      <c r="F1345" s="21"/>
      <c r="G1345" s="21"/>
    </row>
    <row r="1346" ht="15.75" customHeight="1">
      <c r="A1346" s="20" t="s">
        <v>7284</v>
      </c>
      <c r="B1346" s="21" t="s">
        <v>1752</v>
      </c>
      <c r="C1346" s="21" t="s">
        <v>1822</v>
      </c>
      <c r="D1346" s="21" t="s">
        <v>37</v>
      </c>
      <c r="E1346" s="21" t="s">
        <v>7285</v>
      </c>
      <c r="F1346" s="21" t="s">
        <v>7286</v>
      </c>
      <c r="G1346" s="21"/>
    </row>
    <row r="1347" ht="15.75" customHeight="1">
      <c r="A1347" s="20" t="s">
        <v>7287</v>
      </c>
      <c r="B1347" s="21" t="s">
        <v>1752</v>
      </c>
      <c r="C1347" s="21" t="s">
        <v>1822</v>
      </c>
      <c r="D1347" s="21" t="s">
        <v>37</v>
      </c>
      <c r="E1347" s="21" t="s">
        <v>7288</v>
      </c>
      <c r="F1347" s="21" t="s">
        <v>7289</v>
      </c>
      <c r="G1347" s="21"/>
    </row>
    <row r="1348" ht="15.75" customHeight="1">
      <c r="A1348" s="20" t="s">
        <v>7290</v>
      </c>
      <c r="B1348" s="21" t="s">
        <v>1752</v>
      </c>
      <c r="C1348" s="21" t="s">
        <v>1822</v>
      </c>
      <c r="D1348" s="21" t="s">
        <v>37</v>
      </c>
      <c r="E1348" s="21" t="s">
        <v>7291</v>
      </c>
      <c r="F1348" s="21" t="s">
        <v>7292</v>
      </c>
      <c r="G1348" s="21"/>
    </row>
    <row r="1349" ht="15.75" customHeight="1">
      <c r="A1349" s="20" t="s">
        <v>7293</v>
      </c>
      <c r="B1349" s="21" t="s">
        <v>1752</v>
      </c>
      <c r="C1349" s="21" t="s">
        <v>1822</v>
      </c>
      <c r="D1349" s="21" t="s">
        <v>37</v>
      </c>
      <c r="E1349" s="21" t="s">
        <v>7294</v>
      </c>
      <c r="F1349" s="21" t="s">
        <v>7295</v>
      </c>
      <c r="G1349" s="21"/>
    </row>
    <row r="1350" ht="15.75" customHeight="1">
      <c r="A1350" s="20" t="s">
        <v>7296</v>
      </c>
      <c r="B1350" s="21" t="s">
        <v>7297</v>
      </c>
      <c r="C1350" s="21" t="s">
        <v>1833</v>
      </c>
      <c r="D1350" s="21" t="s">
        <v>37</v>
      </c>
      <c r="E1350" s="21" t="s">
        <v>7298</v>
      </c>
      <c r="F1350" s="21" t="s">
        <v>7299</v>
      </c>
      <c r="G1350" s="21"/>
    </row>
    <row r="1351" ht="15.75" customHeight="1">
      <c r="A1351" s="20" t="s">
        <v>7300</v>
      </c>
      <c r="B1351" s="21" t="s">
        <v>7297</v>
      </c>
      <c r="C1351" s="21" t="s">
        <v>1833</v>
      </c>
      <c r="D1351" s="21" t="s">
        <v>37</v>
      </c>
      <c r="E1351" s="21" t="s">
        <v>7301</v>
      </c>
      <c r="F1351" s="21" t="s">
        <v>7302</v>
      </c>
      <c r="G1351" s="21"/>
    </row>
    <row r="1352" ht="15.75" customHeight="1">
      <c r="A1352" s="20" t="s">
        <v>7303</v>
      </c>
      <c r="B1352" s="21" t="s">
        <v>7304</v>
      </c>
      <c r="C1352" s="21" t="s">
        <v>7198</v>
      </c>
      <c r="D1352" s="21" t="s">
        <v>37</v>
      </c>
      <c r="E1352" s="21" t="s">
        <v>7305</v>
      </c>
      <c r="F1352" s="21" t="s">
        <v>7306</v>
      </c>
      <c r="G1352" s="21"/>
    </row>
    <row r="1353" ht="15.75" customHeight="1">
      <c r="A1353" s="20" t="s">
        <v>7307</v>
      </c>
      <c r="B1353" s="21" t="s">
        <v>7304</v>
      </c>
      <c r="C1353" s="21" t="s">
        <v>7198</v>
      </c>
      <c r="D1353" s="21" t="s">
        <v>37</v>
      </c>
      <c r="E1353" s="21" t="s">
        <v>7308</v>
      </c>
      <c r="F1353" s="21" t="s">
        <v>7309</v>
      </c>
      <c r="G1353" s="21"/>
    </row>
    <row r="1354" ht="15.75" customHeight="1">
      <c r="A1354" s="20" t="s">
        <v>7310</v>
      </c>
      <c r="B1354" s="21" t="s">
        <v>7311</v>
      </c>
      <c r="C1354" s="21" t="s">
        <v>7198</v>
      </c>
      <c r="D1354" s="21" t="s">
        <v>37</v>
      </c>
      <c r="E1354" s="21" t="s">
        <v>7312</v>
      </c>
      <c r="F1354" s="21" t="s">
        <v>7313</v>
      </c>
      <c r="G1354" s="21"/>
      <c r="H1354" s="9" t="s">
        <v>7314</v>
      </c>
    </row>
    <row r="1355" ht="15.75" customHeight="1">
      <c r="A1355" s="20" t="s">
        <v>7315</v>
      </c>
      <c r="B1355" s="21" t="s">
        <v>7304</v>
      </c>
      <c r="C1355" s="21" t="s">
        <v>7198</v>
      </c>
      <c r="D1355" s="21" t="s">
        <v>37</v>
      </c>
      <c r="E1355" s="21" t="s">
        <v>7316</v>
      </c>
      <c r="F1355" s="21" t="s">
        <v>7317</v>
      </c>
      <c r="G1355" s="21"/>
    </row>
    <row r="1356" ht="15.75" customHeight="1">
      <c r="A1356" s="20" t="s">
        <v>7318</v>
      </c>
      <c r="B1356" s="21" t="s">
        <v>7319</v>
      </c>
      <c r="C1356" s="21" t="s">
        <v>1850</v>
      </c>
      <c r="D1356" s="21" t="s">
        <v>37</v>
      </c>
      <c r="E1356" s="21" t="s">
        <v>7320</v>
      </c>
      <c r="F1356" s="21" t="s">
        <v>7321</v>
      </c>
      <c r="G1356" s="21"/>
    </row>
    <row r="1357" ht="15.75" customHeight="1">
      <c r="A1357" s="20" t="s">
        <v>7322</v>
      </c>
      <c r="B1357" s="21" t="s">
        <v>7323</v>
      </c>
      <c r="C1357" s="21" t="s">
        <v>1898</v>
      </c>
      <c r="D1357" s="21" t="s">
        <v>37</v>
      </c>
      <c r="E1357" s="21" t="s">
        <v>7324</v>
      </c>
      <c r="F1357" s="21" t="s">
        <v>7325</v>
      </c>
      <c r="G1357" s="21"/>
    </row>
    <row r="1358" ht="15.75" customHeight="1">
      <c r="A1358" s="20" t="s">
        <v>7326</v>
      </c>
      <c r="B1358" s="21" t="s">
        <v>7323</v>
      </c>
      <c r="C1358" s="21" t="s">
        <v>1898</v>
      </c>
      <c r="D1358" s="21" t="s">
        <v>37</v>
      </c>
      <c r="E1358" s="21" t="s">
        <v>7327</v>
      </c>
      <c r="F1358" s="21" t="s">
        <v>7328</v>
      </c>
      <c r="G1358" s="21"/>
    </row>
    <row r="1359" ht="15.75" customHeight="1">
      <c r="A1359" s="20" t="s">
        <v>5855</v>
      </c>
      <c r="B1359" s="21" t="s">
        <v>7329</v>
      </c>
      <c r="C1359" s="21" t="s">
        <v>7330</v>
      </c>
      <c r="D1359" s="21" t="s">
        <v>37</v>
      </c>
      <c r="E1359" s="21" t="s">
        <v>7331</v>
      </c>
      <c r="F1359" s="21" t="s">
        <v>7332</v>
      </c>
      <c r="G1359" s="21"/>
    </row>
    <row r="1360" ht="15.75" customHeight="1">
      <c r="A1360" s="20" t="s">
        <v>7333</v>
      </c>
      <c r="B1360" s="21" t="s">
        <v>7334</v>
      </c>
      <c r="C1360" s="21" t="s">
        <v>7233</v>
      </c>
      <c r="D1360" s="21" t="s">
        <v>37</v>
      </c>
      <c r="E1360" s="21" t="s">
        <v>7335</v>
      </c>
      <c r="F1360" s="21" t="s">
        <v>7336</v>
      </c>
      <c r="G1360" s="21"/>
    </row>
    <row r="1361" ht="15.75" customHeight="1">
      <c r="A1361" s="20" t="s">
        <v>7337</v>
      </c>
      <c r="B1361" s="21" t="s">
        <v>7338</v>
      </c>
      <c r="C1361" s="21" t="s">
        <v>7212</v>
      </c>
      <c r="D1361" s="21" t="s">
        <v>37</v>
      </c>
      <c r="E1361" s="21" t="s">
        <v>7339</v>
      </c>
      <c r="F1361" s="21" t="s">
        <v>7340</v>
      </c>
      <c r="G1361" s="21"/>
    </row>
    <row r="1362" ht="15.75" customHeight="1">
      <c r="A1362" s="20" t="s">
        <v>7341</v>
      </c>
      <c r="B1362" s="21" t="s">
        <v>7342</v>
      </c>
      <c r="C1362" s="21" t="s">
        <v>7343</v>
      </c>
      <c r="D1362" s="21" t="s">
        <v>37</v>
      </c>
      <c r="E1362" s="21" t="s">
        <v>7344</v>
      </c>
      <c r="F1362" s="21"/>
      <c r="G1362" s="21"/>
    </row>
    <row r="1363" ht="15.75" customHeight="1">
      <c r="A1363" s="20" t="s">
        <v>7345</v>
      </c>
      <c r="B1363" s="21" t="s">
        <v>7346</v>
      </c>
      <c r="C1363" s="21" t="s">
        <v>7347</v>
      </c>
      <c r="D1363" s="21" t="s">
        <v>37</v>
      </c>
      <c r="E1363" s="21" t="s">
        <v>7348</v>
      </c>
      <c r="F1363" s="21"/>
      <c r="G1363" s="21"/>
    </row>
    <row r="1364" ht="15.75" customHeight="1">
      <c r="A1364" s="20" t="s">
        <v>7349</v>
      </c>
      <c r="B1364" s="21" t="s">
        <v>7350</v>
      </c>
      <c r="C1364" s="21" t="s">
        <v>7193</v>
      </c>
      <c r="D1364" s="21" t="s">
        <v>37</v>
      </c>
      <c r="E1364" s="21" t="s">
        <v>7351</v>
      </c>
      <c r="F1364" s="21" t="s">
        <v>7352</v>
      </c>
      <c r="G1364" s="21"/>
      <c r="H1364" s="9" t="s">
        <v>7353</v>
      </c>
    </row>
    <row r="1365" ht="15.75" customHeight="1">
      <c r="A1365" s="20" t="s">
        <v>7354</v>
      </c>
      <c r="B1365" s="21" t="s">
        <v>7355</v>
      </c>
      <c r="C1365" s="21" t="s">
        <v>7356</v>
      </c>
      <c r="D1365" s="21" t="s">
        <v>37</v>
      </c>
      <c r="E1365" s="21" t="s">
        <v>7357</v>
      </c>
      <c r="F1365" s="21" t="s">
        <v>7358</v>
      </c>
      <c r="G1365" s="21"/>
    </row>
    <row r="1366" ht="15.75" customHeight="1">
      <c r="A1366" s="20" t="s">
        <v>7359</v>
      </c>
      <c r="B1366" s="21" t="s">
        <v>7360</v>
      </c>
      <c r="C1366" s="21" t="s">
        <v>7361</v>
      </c>
      <c r="D1366" s="21" t="s">
        <v>37</v>
      </c>
      <c r="E1366" s="21" t="s">
        <v>7362</v>
      </c>
      <c r="F1366" s="21" t="s">
        <v>7363</v>
      </c>
      <c r="G1366" s="21"/>
    </row>
    <row r="1367" ht="15.75" customHeight="1">
      <c r="A1367" s="20" t="s">
        <v>7364</v>
      </c>
      <c r="B1367" s="21" t="s">
        <v>7360</v>
      </c>
      <c r="C1367" s="21" t="s">
        <v>1822</v>
      </c>
      <c r="D1367" s="21" t="s">
        <v>37</v>
      </c>
      <c r="E1367" s="21" t="s">
        <v>7365</v>
      </c>
      <c r="F1367" s="21" t="s">
        <v>7366</v>
      </c>
      <c r="G1367" s="21"/>
    </row>
    <row r="1368" ht="15.75" customHeight="1">
      <c r="A1368" s="20" t="s">
        <v>7367</v>
      </c>
      <c r="B1368" s="21" t="s">
        <v>7368</v>
      </c>
      <c r="C1368" s="21" t="s">
        <v>7369</v>
      </c>
      <c r="D1368" s="21" t="s">
        <v>37</v>
      </c>
      <c r="E1368" s="21" t="s">
        <v>7370</v>
      </c>
      <c r="F1368" s="21"/>
      <c r="G1368" s="21"/>
    </row>
    <row r="1369" ht="15.75" customHeight="1">
      <c r="A1369" s="20" t="s">
        <v>7371</v>
      </c>
      <c r="B1369" s="21" t="s">
        <v>1422</v>
      </c>
      <c r="C1369" s="21" t="s">
        <v>1424</v>
      </c>
      <c r="D1369" s="21" t="s">
        <v>37</v>
      </c>
      <c r="E1369" s="21" t="s">
        <v>7372</v>
      </c>
      <c r="F1369" s="21" t="s">
        <v>7373</v>
      </c>
      <c r="G1369" s="21"/>
      <c r="H1369" s="9" t="s">
        <v>7374</v>
      </c>
    </row>
    <row r="1370" ht="15.75" customHeight="1">
      <c r="A1370" s="20" t="s">
        <v>3427</v>
      </c>
      <c r="B1370" s="21" t="s">
        <v>1422</v>
      </c>
      <c r="C1370" s="21" t="s">
        <v>1424</v>
      </c>
      <c r="D1370" s="21" t="s">
        <v>37</v>
      </c>
      <c r="E1370" s="21" t="s">
        <v>7375</v>
      </c>
      <c r="F1370" s="21" t="s">
        <v>7376</v>
      </c>
      <c r="G1370" s="21"/>
    </row>
    <row r="1371" ht="15.75" customHeight="1">
      <c r="A1371" s="20" t="s">
        <v>7377</v>
      </c>
      <c r="B1371" s="21" t="s">
        <v>1422</v>
      </c>
      <c r="C1371" s="21" t="s">
        <v>1424</v>
      </c>
      <c r="D1371" s="21" t="s">
        <v>37</v>
      </c>
      <c r="E1371" s="21" t="s">
        <v>7378</v>
      </c>
      <c r="F1371" s="21" t="s">
        <v>7379</v>
      </c>
      <c r="G1371" s="21"/>
    </row>
    <row r="1372" ht="15.75" customHeight="1">
      <c r="A1372" s="20" t="s">
        <v>7380</v>
      </c>
      <c r="B1372" s="21" t="s">
        <v>1422</v>
      </c>
      <c r="C1372" s="21" t="s">
        <v>1424</v>
      </c>
      <c r="D1372" s="21" t="s">
        <v>37</v>
      </c>
      <c r="E1372" s="21" t="s">
        <v>7381</v>
      </c>
      <c r="F1372" s="21"/>
      <c r="G1372" s="21"/>
    </row>
    <row r="1373" ht="15.75" customHeight="1">
      <c r="A1373" s="20" t="s">
        <v>7382</v>
      </c>
      <c r="B1373" s="21" t="s">
        <v>1422</v>
      </c>
      <c r="C1373" s="21" t="s">
        <v>1424</v>
      </c>
      <c r="D1373" s="21" t="s">
        <v>37</v>
      </c>
      <c r="E1373" s="21" t="s">
        <v>7383</v>
      </c>
      <c r="F1373" s="21"/>
      <c r="G1373" s="21"/>
    </row>
    <row r="1374" ht="15.75" customHeight="1">
      <c r="A1374" s="20" t="s">
        <v>7384</v>
      </c>
      <c r="B1374" s="21" t="s">
        <v>1422</v>
      </c>
      <c r="C1374" s="21" t="s">
        <v>1424</v>
      </c>
      <c r="D1374" s="21" t="s">
        <v>37</v>
      </c>
      <c r="E1374" s="21" t="s">
        <v>7385</v>
      </c>
      <c r="F1374" s="21" t="s">
        <v>7386</v>
      </c>
      <c r="G1374" s="21"/>
    </row>
    <row r="1375" ht="15.75" customHeight="1">
      <c r="A1375" s="20" t="s">
        <v>7387</v>
      </c>
      <c r="B1375" s="21" t="s">
        <v>1422</v>
      </c>
      <c r="C1375" s="21" t="s">
        <v>1424</v>
      </c>
      <c r="D1375" s="21" t="s">
        <v>37</v>
      </c>
      <c r="E1375" s="21" t="s">
        <v>7388</v>
      </c>
      <c r="F1375" s="21"/>
      <c r="G1375" s="21"/>
    </row>
    <row r="1376" ht="15.75" customHeight="1">
      <c r="A1376" s="20" t="s">
        <v>7389</v>
      </c>
      <c r="B1376" s="21" t="s">
        <v>1422</v>
      </c>
      <c r="C1376" s="21" t="s">
        <v>1424</v>
      </c>
      <c r="D1376" s="21" t="s">
        <v>37</v>
      </c>
      <c r="E1376" s="21" t="s">
        <v>7390</v>
      </c>
      <c r="F1376" s="21" t="s">
        <v>7391</v>
      </c>
      <c r="G1376" s="21"/>
    </row>
    <row r="1377" ht="15.75" customHeight="1">
      <c r="A1377" s="20" t="s">
        <v>7392</v>
      </c>
      <c r="B1377" s="21" t="s">
        <v>1422</v>
      </c>
      <c r="C1377" s="21" t="s">
        <v>1424</v>
      </c>
      <c r="D1377" s="21" t="s">
        <v>37</v>
      </c>
      <c r="E1377" s="21" t="s">
        <v>7393</v>
      </c>
      <c r="F1377" s="21" t="s">
        <v>7394</v>
      </c>
      <c r="G1377" s="21"/>
    </row>
    <row r="1378" ht="15.75" customHeight="1">
      <c r="A1378" s="20" t="s">
        <v>7395</v>
      </c>
      <c r="B1378" s="21" t="s">
        <v>1422</v>
      </c>
      <c r="C1378" s="21" t="s">
        <v>1424</v>
      </c>
      <c r="D1378" s="21" t="s">
        <v>37</v>
      </c>
      <c r="E1378" s="21" t="s">
        <v>7396</v>
      </c>
      <c r="F1378" s="21" t="s">
        <v>7397</v>
      </c>
      <c r="G1378" s="21"/>
    </row>
    <row r="1379" ht="15.75" customHeight="1">
      <c r="A1379" s="20" t="s">
        <v>7398</v>
      </c>
      <c r="B1379" s="21" t="s">
        <v>1422</v>
      </c>
      <c r="C1379" s="21" t="s">
        <v>1424</v>
      </c>
      <c r="D1379" s="21" t="s">
        <v>37</v>
      </c>
      <c r="E1379" s="21" t="s">
        <v>7399</v>
      </c>
      <c r="F1379" s="21" t="s">
        <v>7400</v>
      </c>
      <c r="G1379" s="21"/>
    </row>
    <row r="1380" ht="15.75" customHeight="1">
      <c r="A1380" s="20" t="s">
        <v>7401</v>
      </c>
      <c r="B1380" s="21" t="s">
        <v>1422</v>
      </c>
      <c r="C1380" s="21" t="s">
        <v>1424</v>
      </c>
      <c r="D1380" s="21" t="s">
        <v>37</v>
      </c>
      <c r="E1380" s="21" t="s">
        <v>7402</v>
      </c>
      <c r="F1380" s="21" t="s">
        <v>7403</v>
      </c>
      <c r="G1380" s="21"/>
    </row>
    <row r="1381" ht="15.75" customHeight="1">
      <c r="A1381" s="20" t="s">
        <v>7404</v>
      </c>
      <c r="B1381" s="21" t="s">
        <v>1422</v>
      </c>
      <c r="C1381" s="21" t="s">
        <v>1424</v>
      </c>
      <c r="D1381" s="21" t="s">
        <v>37</v>
      </c>
      <c r="E1381" s="21" t="s">
        <v>7405</v>
      </c>
      <c r="F1381" s="21" t="s">
        <v>7406</v>
      </c>
      <c r="G1381" s="21"/>
    </row>
    <row r="1382" ht="15.75" customHeight="1">
      <c r="A1382" s="20" t="s">
        <v>7407</v>
      </c>
      <c r="B1382" s="21" t="s">
        <v>1422</v>
      </c>
      <c r="C1382" s="21" t="s">
        <v>1424</v>
      </c>
      <c r="D1382" s="21" t="s">
        <v>37</v>
      </c>
      <c r="E1382" s="21" t="s">
        <v>7408</v>
      </c>
      <c r="F1382" s="21" t="s">
        <v>7409</v>
      </c>
      <c r="G1382" s="21"/>
    </row>
    <row r="1383" ht="15.75" customHeight="1">
      <c r="A1383" s="20" t="s">
        <v>7410</v>
      </c>
      <c r="B1383" s="21" t="s">
        <v>1422</v>
      </c>
      <c r="C1383" s="21" t="s">
        <v>1424</v>
      </c>
      <c r="D1383" s="21" t="s">
        <v>37</v>
      </c>
      <c r="E1383" s="21" t="s">
        <v>7411</v>
      </c>
      <c r="F1383" s="21"/>
      <c r="G1383" s="21"/>
    </row>
    <row r="1384" ht="15.75" customHeight="1">
      <c r="A1384" s="20" t="s">
        <v>7412</v>
      </c>
      <c r="B1384" s="21" t="s">
        <v>1422</v>
      </c>
      <c r="C1384" s="21" t="s">
        <v>1424</v>
      </c>
      <c r="D1384" s="21" t="s">
        <v>37</v>
      </c>
      <c r="E1384" s="21" t="s">
        <v>7413</v>
      </c>
      <c r="F1384" s="21" t="s">
        <v>7414</v>
      </c>
      <c r="G1384" s="21"/>
    </row>
    <row r="1385" ht="15.75" customHeight="1">
      <c r="A1385" s="20" t="s">
        <v>7415</v>
      </c>
      <c r="B1385" s="21" t="s">
        <v>1422</v>
      </c>
      <c r="C1385" s="21" t="s">
        <v>1424</v>
      </c>
      <c r="D1385" s="21" t="s">
        <v>37</v>
      </c>
      <c r="E1385" s="21" t="s">
        <v>7416</v>
      </c>
      <c r="F1385" s="21" t="s">
        <v>7417</v>
      </c>
      <c r="G1385" s="21"/>
    </row>
    <row r="1386" ht="15.75" customHeight="1">
      <c r="A1386" s="20" t="s">
        <v>7418</v>
      </c>
      <c r="B1386" s="21" t="s">
        <v>1422</v>
      </c>
      <c r="C1386" s="21" t="s">
        <v>1424</v>
      </c>
      <c r="D1386" s="21" t="s">
        <v>37</v>
      </c>
      <c r="E1386" s="21" t="s">
        <v>7419</v>
      </c>
      <c r="F1386" s="21" t="s">
        <v>7420</v>
      </c>
      <c r="G1386" s="21"/>
    </row>
    <row r="1387" ht="15.75" customHeight="1">
      <c r="A1387" s="20" t="s">
        <v>7421</v>
      </c>
      <c r="B1387" s="21" t="s">
        <v>1422</v>
      </c>
      <c r="C1387" s="21" t="s">
        <v>1424</v>
      </c>
      <c r="D1387" s="21" t="s">
        <v>37</v>
      </c>
      <c r="E1387" s="21" t="s">
        <v>7422</v>
      </c>
      <c r="F1387" s="21" t="s">
        <v>7423</v>
      </c>
      <c r="G1387" s="21"/>
    </row>
    <row r="1388" ht="15.75" customHeight="1">
      <c r="A1388" s="20" t="s">
        <v>7424</v>
      </c>
      <c r="B1388" s="21" t="s">
        <v>1422</v>
      </c>
      <c r="C1388" s="21" t="s">
        <v>1424</v>
      </c>
      <c r="D1388" s="21" t="s">
        <v>37</v>
      </c>
      <c r="E1388" s="21" t="s">
        <v>7425</v>
      </c>
      <c r="F1388" s="21" t="s">
        <v>7426</v>
      </c>
      <c r="G1388" s="21"/>
    </row>
    <row r="1389" ht="15.75" customHeight="1">
      <c r="A1389" s="20" t="s">
        <v>7427</v>
      </c>
      <c r="B1389" s="21" t="s">
        <v>1422</v>
      </c>
      <c r="C1389" s="21" t="s">
        <v>1424</v>
      </c>
      <c r="D1389" s="21" t="s">
        <v>37</v>
      </c>
      <c r="E1389" s="21" t="s">
        <v>7428</v>
      </c>
      <c r="F1389" s="21"/>
      <c r="G1389" s="21"/>
    </row>
    <row r="1390" ht="15.75" customHeight="1">
      <c r="A1390" s="20" t="s">
        <v>7429</v>
      </c>
      <c r="B1390" s="21" t="s">
        <v>1422</v>
      </c>
      <c r="C1390" s="21" t="s">
        <v>1424</v>
      </c>
      <c r="D1390" s="21" t="s">
        <v>37</v>
      </c>
      <c r="E1390" s="21" t="s">
        <v>7430</v>
      </c>
      <c r="F1390" s="21" t="s">
        <v>7431</v>
      </c>
      <c r="G1390" s="21"/>
    </row>
    <row r="1391" ht="15.75" customHeight="1">
      <c r="A1391" s="20" t="s">
        <v>7432</v>
      </c>
      <c r="B1391" s="21" t="s">
        <v>1422</v>
      </c>
      <c r="C1391" s="21" t="s">
        <v>1424</v>
      </c>
      <c r="D1391" s="21" t="s">
        <v>37</v>
      </c>
      <c r="E1391" s="21" t="s">
        <v>7433</v>
      </c>
      <c r="F1391" s="21" t="s">
        <v>7434</v>
      </c>
      <c r="G1391" s="21"/>
    </row>
    <row r="1392" ht="15.75" customHeight="1">
      <c r="A1392" s="20" t="s">
        <v>7435</v>
      </c>
      <c r="B1392" s="21" t="s">
        <v>1422</v>
      </c>
      <c r="C1392" s="21" t="s">
        <v>1424</v>
      </c>
      <c r="D1392" s="21" t="s">
        <v>37</v>
      </c>
      <c r="E1392" s="21" t="s">
        <v>7436</v>
      </c>
      <c r="F1392" s="21" t="s">
        <v>7437</v>
      </c>
      <c r="G1392" s="21"/>
    </row>
    <row r="1393" ht="15.75" customHeight="1">
      <c r="A1393" s="20" t="s">
        <v>7438</v>
      </c>
      <c r="B1393" s="21" t="s">
        <v>1422</v>
      </c>
      <c r="C1393" s="21" t="s">
        <v>1424</v>
      </c>
      <c r="D1393" s="21" t="s">
        <v>37</v>
      </c>
      <c r="E1393" s="21" t="s">
        <v>7439</v>
      </c>
      <c r="F1393" s="21" t="s">
        <v>7440</v>
      </c>
      <c r="G1393" s="21"/>
    </row>
    <row r="1394" ht="15.75" customHeight="1">
      <c r="A1394" s="20" t="s">
        <v>7441</v>
      </c>
      <c r="B1394" s="21" t="s">
        <v>1422</v>
      </c>
      <c r="C1394" s="21" t="s">
        <v>1424</v>
      </c>
      <c r="D1394" s="21" t="s">
        <v>37</v>
      </c>
      <c r="E1394" s="21" t="s">
        <v>7442</v>
      </c>
      <c r="F1394" s="21"/>
      <c r="G1394" s="21"/>
    </row>
    <row r="1395" ht="15.75" customHeight="1">
      <c r="A1395" s="20" t="s">
        <v>7443</v>
      </c>
      <c r="B1395" s="21" t="s">
        <v>1422</v>
      </c>
      <c r="C1395" s="21" t="s">
        <v>1424</v>
      </c>
      <c r="D1395" s="21" t="s">
        <v>37</v>
      </c>
      <c r="E1395" s="21" t="s">
        <v>7444</v>
      </c>
      <c r="F1395" s="21" t="s">
        <v>7445</v>
      </c>
      <c r="G1395" s="21"/>
    </row>
    <row r="1396" ht="15.75" customHeight="1">
      <c r="A1396" s="20" t="s">
        <v>7446</v>
      </c>
      <c r="B1396" s="21" t="s">
        <v>1422</v>
      </c>
      <c r="C1396" s="21" t="s">
        <v>1424</v>
      </c>
      <c r="D1396" s="21" t="s">
        <v>37</v>
      </c>
      <c r="E1396" s="21" t="s">
        <v>7447</v>
      </c>
      <c r="F1396" s="21" t="s">
        <v>7448</v>
      </c>
      <c r="G1396" s="21"/>
    </row>
    <row r="1397" ht="15.75" customHeight="1">
      <c r="A1397" s="20" t="s">
        <v>7449</v>
      </c>
      <c r="B1397" s="21" t="s">
        <v>1422</v>
      </c>
      <c r="C1397" s="21" t="s">
        <v>1424</v>
      </c>
      <c r="D1397" s="21" t="s">
        <v>37</v>
      </c>
      <c r="E1397" s="21" t="s">
        <v>7450</v>
      </c>
      <c r="F1397" s="21" t="s">
        <v>7451</v>
      </c>
      <c r="G1397" s="21"/>
    </row>
    <row r="1398" ht="15.75" customHeight="1">
      <c r="A1398" s="20" t="s">
        <v>7452</v>
      </c>
      <c r="B1398" s="21" t="s">
        <v>1422</v>
      </c>
      <c r="C1398" s="21" t="s">
        <v>1424</v>
      </c>
      <c r="D1398" s="21" t="s">
        <v>37</v>
      </c>
      <c r="E1398" s="21" t="s">
        <v>7453</v>
      </c>
      <c r="F1398" s="21" t="s">
        <v>7454</v>
      </c>
      <c r="G1398" s="21"/>
    </row>
    <row r="1399" ht="15.75" customHeight="1">
      <c r="A1399" s="20" t="s">
        <v>7455</v>
      </c>
      <c r="B1399" s="21" t="s">
        <v>1422</v>
      </c>
      <c r="C1399" s="21" t="s">
        <v>1424</v>
      </c>
      <c r="D1399" s="21" t="s">
        <v>37</v>
      </c>
      <c r="E1399" s="21" t="s">
        <v>7456</v>
      </c>
      <c r="F1399" s="21" t="s">
        <v>7457</v>
      </c>
      <c r="G1399" s="21"/>
    </row>
    <row r="1400" ht="15.75" customHeight="1">
      <c r="A1400" s="20" t="s">
        <v>7458</v>
      </c>
      <c r="B1400" s="21" t="s">
        <v>1422</v>
      </c>
      <c r="C1400" s="21" t="s">
        <v>1424</v>
      </c>
      <c r="D1400" s="21" t="s">
        <v>37</v>
      </c>
      <c r="E1400" s="21" t="s">
        <v>7459</v>
      </c>
      <c r="F1400" s="21"/>
      <c r="G1400" s="21"/>
    </row>
    <row r="1401" ht="15.75" customHeight="1">
      <c r="A1401" s="20" t="s">
        <v>7460</v>
      </c>
      <c r="B1401" s="21" t="s">
        <v>7461</v>
      </c>
      <c r="C1401" s="21" t="s">
        <v>7198</v>
      </c>
      <c r="D1401" s="21" t="s">
        <v>37</v>
      </c>
      <c r="E1401" s="21" t="s">
        <v>7462</v>
      </c>
      <c r="F1401" s="21" t="s">
        <v>7463</v>
      </c>
      <c r="G1401" s="21"/>
    </row>
    <row r="1402" ht="15.75" customHeight="1">
      <c r="A1402" s="20" t="s">
        <v>7464</v>
      </c>
      <c r="B1402" s="21" t="s">
        <v>7465</v>
      </c>
      <c r="C1402" s="21" t="s">
        <v>7466</v>
      </c>
      <c r="D1402" s="21" t="s">
        <v>37</v>
      </c>
      <c r="E1402" s="21" t="s">
        <v>7467</v>
      </c>
      <c r="F1402" s="21" t="s">
        <v>7468</v>
      </c>
      <c r="G1402" s="21"/>
    </row>
    <row r="1403" ht="15.75" customHeight="1">
      <c r="A1403" s="20" t="s">
        <v>7469</v>
      </c>
      <c r="B1403" s="21" t="s">
        <v>7470</v>
      </c>
      <c r="C1403" s="21" t="s">
        <v>7188</v>
      </c>
      <c r="D1403" s="21" t="s">
        <v>37</v>
      </c>
      <c r="E1403" s="21" t="s">
        <v>7471</v>
      </c>
      <c r="F1403" s="21" t="s">
        <v>7472</v>
      </c>
      <c r="G1403" s="21"/>
    </row>
    <row r="1404" ht="15.75" customHeight="1">
      <c r="A1404" s="20" t="s">
        <v>7473</v>
      </c>
      <c r="B1404" s="21" t="s">
        <v>1866</v>
      </c>
      <c r="C1404" s="21" t="s">
        <v>7356</v>
      </c>
      <c r="D1404" s="21" t="s">
        <v>37</v>
      </c>
      <c r="E1404" s="21" t="s">
        <v>7474</v>
      </c>
      <c r="F1404" s="21"/>
      <c r="G1404" s="21"/>
    </row>
    <row r="1405" ht="15.75" customHeight="1">
      <c r="A1405" s="20" t="s">
        <v>7475</v>
      </c>
      <c r="B1405" s="21" t="s">
        <v>1866</v>
      </c>
      <c r="C1405" s="21" t="s">
        <v>7356</v>
      </c>
      <c r="D1405" s="21" t="s">
        <v>37</v>
      </c>
      <c r="E1405" s="21" t="s">
        <v>7476</v>
      </c>
      <c r="F1405" s="21" t="s">
        <v>7477</v>
      </c>
      <c r="G1405" s="21"/>
    </row>
    <row r="1406" ht="15.75" customHeight="1">
      <c r="A1406" s="20" t="s">
        <v>7478</v>
      </c>
      <c r="B1406" s="21" t="s">
        <v>1884</v>
      </c>
      <c r="C1406" s="21" t="s">
        <v>1885</v>
      </c>
      <c r="D1406" s="21" t="s">
        <v>37</v>
      </c>
      <c r="E1406" s="21" t="s">
        <v>7479</v>
      </c>
      <c r="F1406" s="21"/>
      <c r="G1406" s="21"/>
    </row>
    <row r="1407" ht="15.75" customHeight="1">
      <c r="A1407" s="20" t="s">
        <v>7480</v>
      </c>
      <c r="B1407" s="21" t="s">
        <v>1884</v>
      </c>
      <c r="C1407" s="21" t="s">
        <v>1885</v>
      </c>
      <c r="D1407" s="21" t="s">
        <v>37</v>
      </c>
      <c r="E1407" s="21" t="s">
        <v>7481</v>
      </c>
      <c r="F1407" s="21" t="s">
        <v>7482</v>
      </c>
      <c r="G1407" s="21"/>
    </row>
    <row r="1408" ht="15.75" customHeight="1">
      <c r="A1408" s="20" t="s">
        <v>7483</v>
      </c>
      <c r="B1408" s="21" t="s">
        <v>1884</v>
      </c>
      <c r="C1408" s="21" t="s">
        <v>1885</v>
      </c>
      <c r="D1408" s="21" t="s">
        <v>37</v>
      </c>
      <c r="E1408" s="21" t="s">
        <v>7484</v>
      </c>
      <c r="F1408" s="21" t="s">
        <v>7485</v>
      </c>
      <c r="G1408" s="21"/>
    </row>
    <row r="1409" ht="15.75" customHeight="1">
      <c r="A1409" s="20" t="s">
        <v>7486</v>
      </c>
      <c r="B1409" s="21" t="s">
        <v>7487</v>
      </c>
      <c r="C1409" s="21" t="s">
        <v>1822</v>
      </c>
      <c r="D1409" s="21" t="s">
        <v>37</v>
      </c>
      <c r="E1409" s="21" t="s">
        <v>7488</v>
      </c>
      <c r="F1409" s="21" t="s">
        <v>7489</v>
      </c>
      <c r="G1409" s="21"/>
    </row>
    <row r="1410" ht="15.75" customHeight="1">
      <c r="A1410" s="20" t="s">
        <v>7490</v>
      </c>
      <c r="B1410" s="21" t="s">
        <v>7491</v>
      </c>
      <c r="C1410" s="21" t="s">
        <v>7193</v>
      </c>
      <c r="D1410" s="21" t="s">
        <v>37</v>
      </c>
      <c r="E1410" s="21" t="s">
        <v>7492</v>
      </c>
      <c r="F1410" s="21" t="s">
        <v>7493</v>
      </c>
      <c r="G1410" s="21"/>
    </row>
    <row r="1411" ht="15.75" customHeight="1">
      <c r="A1411" s="20" t="s">
        <v>7494</v>
      </c>
      <c r="B1411" s="21" t="s">
        <v>7491</v>
      </c>
      <c r="C1411" s="21" t="s">
        <v>7193</v>
      </c>
      <c r="D1411" s="21" t="s">
        <v>37</v>
      </c>
      <c r="E1411" s="21" t="s">
        <v>7495</v>
      </c>
      <c r="F1411" s="21" t="s">
        <v>7496</v>
      </c>
      <c r="G1411" s="21"/>
    </row>
    <row r="1412" ht="15.75" customHeight="1">
      <c r="A1412" s="20" t="s">
        <v>7497</v>
      </c>
      <c r="B1412" s="21" t="s">
        <v>7498</v>
      </c>
      <c r="C1412" s="21" t="s">
        <v>1898</v>
      </c>
      <c r="D1412" s="21" t="s">
        <v>37</v>
      </c>
      <c r="E1412" s="21" t="s">
        <v>7499</v>
      </c>
      <c r="F1412" s="21"/>
      <c r="G1412" s="21"/>
    </row>
    <row r="1413" ht="15.75" customHeight="1">
      <c r="A1413" s="20" t="s">
        <v>7500</v>
      </c>
      <c r="B1413" s="21" t="s">
        <v>7501</v>
      </c>
      <c r="C1413" s="21" t="s">
        <v>7184</v>
      </c>
      <c r="D1413" s="21" t="s">
        <v>37</v>
      </c>
      <c r="E1413" s="21" t="s">
        <v>7502</v>
      </c>
      <c r="F1413" s="21" t="s">
        <v>7503</v>
      </c>
      <c r="G1413" s="21"/>
    </row>
    <row r="1414" ht="15.75" customHeight="1">
      <c r="A1414" s="20" t="s">
        <v>7504</v>
      </c>
      <c r="B1414" s="21" t="s">
        <v>7505</v>
      </c>
      <c r="C1414" s="21" t="s">
        <v>7347</v>
      </c>
      <c r="D1414" s="21" t="s">
        <v>37</v>
      </c>
      <c r="E1414" s="21" t="s">
        <v>7506</v>
      </c>
      <c r="F1414" s="21" t="s">
        <v>7507</v>
      </c>
      <c r="G1414" s="21"/>
    </row>
    <row r="1415" ht="15.75" customHeight="1">
      <c r="A1415" s="20" t="s">
        <v>7508</v>
      </c>
      <c r="B1415" s="21" t="s">
        <v>7509</v>
      </c>
      <c r="C1415" s="21" t="s">
        <v>7238</v>
      </c>
      <c r="D1415" s="21" t="s">
        <v>37</v>
      </c>
      <c r="E1415" s="21" t="s">
        <v>7510</v>
      </c>
      <c r="F1415" s="21" t="s">
        <v>7511</v>
      </c>
      <c r="G1415" s="21"/>
    </row>
    <row r="1416" ht="15.75" customHeight="1">
      <c r="A1416" s="20" t="s">
        <v>7512</v>
      </c>
      <c r="B1416" s="21" t="s">
        <v>7513</v>
      </c>
      <c r="C1416" s="21" t="s">
        <v>1885</v>
      </c>
      <c r="D1416" s="21" t="s">
        <v>37</v>
      </c>
      <c r="E1416" s="21" t="s">
        <v>7514</v>
      </c>
      <c r="F1416" s="21" t="s">
        <v>7515</v>
      </c>
      <c r="G1416" s="21"/>
    </row>
    <row r="1417" ht="15.75" customHeight="1">
      <c r="A1417" s="20" t="s">
        <v>7516</v>
      </c>
      <c r="B1417" s="21" t="s">
        <v>7517</v>
      </c>
      <c r="C1417" s="21" t="s">
        <v>7273</v>
      </c>
      <c r="D1417" s="21" t="s">
        <v>37</v>
      </c>
      <c r="E1417" s="21" t="s">
        <v>7518</v>
      </c>
      <c r="F1417" s="21" t="s">
        <v>7519</v>
      </c>
      <c r="G1417" s="21"/>
    </row>
    <row r="1418" ht="15.75" customHeight="1">
      <c r="A1418" s="20" t="s">
        <v>7520</v>
      </c>
      <c r="B1418" s="21" t="s">
        <v>7521</v>
      </c>
      <c r="C1418" s="21" t="s">
        <v>7361</v>
      </c>
      <c r="D1418" s="21" t="s">
        <v>37</v>
      </c>
      <c r="E1418" s="21" t="s">
        <v>7522</v>
      </c>
      <c r="F1418" s="21" t="s">
        <v>7523</v>
      </c>
      <c r="G1418" s="21"/>
    </row>
    <row r="1419" ht="15.75" customHeight="1">
      <c r="A1419" s="20" t="s">
        <v>7524</v>
      </c>
      <c r="B1419" s="21" t="s">
        <v>7525</v>
      </c>
      <c r="C1419" s="21" t="s">
        <v>1859</v>
      </c>
      <c r="D1419" s="21" t="s">
        <v>37</v>
      </c>
      <c r="E1419" s="21" t="s">
        <v>7526</v>
      </c>
      <c r="F1419" s="21" t="s">
        <v>7527</v>
      </c>
      <c r="G1419" s="21"/>
    </row>
    <row r="1420" ht="15.75" customHeight="1">
      <c r="A1420" s="20" t="s">
        <v>7528</v>
      </c>
      <c r="B1420" s="21" t="s">
        <v>7529</v>
      </c>
      <c r="C1420" s="21" t="s">
        <v>7530</v>
      </c>
      <c r="D1420" s="21" t="s">
        <v>37</v>
      </c>
      <c r="E1420" s="21" t="s">
        <v>7531</v>
      </c>
      <c r="F1420" s="21" t="s">
        <v>7532</v>
      </c>
      <c r="G1420" s="21"/>
    </row>
    <row r="1421" ht="15.75" customHeight="1">
      <c r="A1421" s="20" t="s">
        <v>7533</v>
      </c>
      <c r="B1421" s="21" t="s">
        <v>7529</v>
      </c>
      <c r="C1421" s="21" t="s">
        <v>7530</v>
      </c>
      <c r="D1421" s="21" t="s">
        <v>37</v>
      </c>
      <c r="E1421" s="21" t="s">
        <v>7534</v>
      </c>
      <c r="F1421" s="21" t="s">
        <v>7535</v>
      </c>
      <c r="G1421" s="21"/>
    </row>
    <row r="1422" ht="15.75" customHeight="1">
      <c r="A1422" s="20" t="s">
        <v>7536</v>
      </c>
      <c r="B1422" s="21" t="s">
        <v>7537</v>
      </c>
      <c r="C1422" s="21" t="s">
        <v>7538</v>
      </c>
      <c r="D1422" s="21" t="s">
        <v>37</v>
      </c>
      <c r="E1422" s="21" t="s">
        <v>7539</v>
      </c>
      <c r="F1422" s="21" t="s">
        <v>7540</v>
      </c>
      <c r="G1422" s="21"/>
    </row>
    <row r="1423" ht="15.75" customHeight="1">
      <c r="A1423" s="20" t="s">
        <v>7541</v>
      </c>
      <c r="B1423" s="21" t="s">
        <v>7542</v>
      </c>
      <c r="C1423" s="21" t="s">
        <v>1822</v>
      </c>
      <c r="D1423" s="21" t="s">
        <v>37</v>
      </c>
      <c r="E1423" s="21" t="s">
        <v>7543</v>
      </c>
      <c r="F1423" s="21" t="s">
        <v>7544</v>
      </c>
      <c r="G1423" s="21"/>
    </row>
    <row r="1424" ht="15.75" customHeight="1">
      <c r="A1424" s="20" t="s">
        <v>7545</v>
      </c>
      <c r="B1424" s="21" t="s">
        <v>7546</v>
      </c>
      <c r="C1424" s="21" t="s">
        <v>7361</v>
      </c>
      <c r="D1424" s="21" t="s">
        <v>37</v>
      </c>
      <c r="E1424" s="21" t="s">
        <v>7547</v>
      </c>
      <c r="F1424" s="21" t="s">
        <v>7548</v>
      </c>
      <c r="G1424" s="21"/>
    </row>
    <row r="1425" ht="15.75" customHeight="1">
      <c r="A1425" s="20" t="s">
        <v>7549</v>
      </c>
      <c r="B1425" s="21" t="s">
        <v>7550</v>
      </c>
      <c r="C1425" s="21" t="s">
        <v>7193</v>
      </c>
      <c r="D1425" s="21" t="s">
        <v>37</v>
      </c>
      <c r="E1425" s="21" t="s">
        <v>7551</v>
      </c>
      <c r="F1425" s="21" t="s">
        <v>7552</v>
      </c>
      <c r="G1425" s="21"/>
    </row>
    <row r="1426" ht="15.75" customHeight="1">
      <c r="A1426" s="20" t="s">
        <v>7553</v>
      </c>
      <c r="B1426" s="21" t="s">
        <v>7554</v>
      </c>
      <c r="C1426" s="21" t="s">
        <v>1892</v>
      </c>
      <c r="D1426" s="21" t="s">
        <v>37</v>
      </c>
      <c r="E1426" s="21" t="s">
        <v>7555</v>
      </c>
      <c r="F1426" s="21" t="s">
        <v>7556</v>
      </c>
      <c r="G1426" s="21"/>
    </row>
    <row r="1427" ht="15.75" customHeight="1">
      <c r="A1427" s="20" t="s">
        <v>7557</v>
      </c>
      <c r="B1427" s="21" t="s">
        <v>1616</v>
      </c>
      <c r="C1427" s="21" t="s">
        <v>1618</v>
      </c>
      <c r="D1427" s="21" t="s">
        <v>37</v>
      </c>
      <c r="E1427" s="21" t="s">
        <v>7558</v>
      </c>
      <c r="F1427" s="21" t="s">
        <v>7559</v>
      </c>
      <c r="G1427" s="21"/>
    </row>
    <row r="1428" ht="15.75" customHeight="1">
      <c r="A1428" s="20" t="s">
        <v>7560</v>
      </c>
      <c r="B1428" s="21" t="s">
        <v>1616</v>
      </c>
      <c r="C1428" s="21" t="s">
        <v>1618</v>
      </c>
      <c r="D1428" s="21" t="s">
        <v>37</v>
      </c>
      <c r="E1428" s="21" t="s">
        <v>7561</v>
      </c>
      <c r="F1428" s="21" t="s">
        <v>7562</v>
      </c>
      <c r="G1428" s="21"/>
    </row>
    <row r="1429" ht="15.75" customHeight="1">
      <c r="A1429" s="20" t="s">
        <v>7563</v>
      </c>
      <c r="B1429" s="21" t="s">
        <v>1616</v>
      </c>
      <c r="C1429" s="21" t="s">
        <v>1618</v>
      </c>
      <c r="D1429" s="21" t="s">
        <v>37</v>
      </c>
      <c r="E1429" s="21" t="s">
        <v>7564</v>
      </c>
      <c r="F1429" s="21" t="s">
        <v>7565</v>
      </c>
      <c r="G1429" s="21"/>
    </row>
    <row r="1430" ht="15.75" customHeight="1">
      <c r="A1430" s="20" t="s">
        <v>7566</v>
      </c>
      <c r="B1430" s="21" t="s">
        <v>7567</v>
      </c>
      <c r="C1430" s="21" t="s">
        <v>7212</v>
      </c>
      <c r="D1430" s="21" t="s">
        <v>37</v>
      </c>
      <c r="E1430" s="21" t="s">
        <v>7568</v>
      </c>
      <c r="F1430" s="21" t="s">
        <v>7569</v>
      </c>
      <c r="G1430" s="21"/>
    </row>
    <row r="1431" ht="15.75" customHeight="1">
      <c r="A1431" s="20" t="s">
        <v>7570</v>
      </c>
      <c r="B1431" s="21" t="s">
        <v>7571</v>
      </c>
      <c r="C1431" s="21" t="s">
        <v>7212</v>
      </c>
      <c r="D1431" s="21" t="s">
        <v>37</v>
      </c>
      <c r="E1431" s="21" t="s">
        <v>7572</v>
      </c>
      <c r="F1431" s="21" t="s">
        <v>7573</v>
      </c>
      <c r="G1431" s="21"/>
    </row>
    <row r="1432" ht="15.75" customHeight="1">
      <c r="A1432" s="20" t="s">
        <v>7574</v>
      </c>
      <c r="B1432" s="21" t="s">
        <v>7575</v>
      </c>
      <c r="C1432" s="21" t="s">
        <v>7193</v>
      </c>
      <c r="D1432" s="21" t="s">
        <v>37</v>
      </c>
      <c r="E1432" s="21" t="s">
        <v>7576</v>
      </c>
      <c r="F1432" s="21" t="s">
        <v>7577</v>
      </c>
      <c r="G1432" s="21"/>
    </row>
    <row r="1433" ht="15.75" customHeight="1">
      <c r="A1433" s="20" t="s">
        <v>7578</v>
      </c>
      <c r="B1433" s="21" t="s">
        <v>7579</v>
      </c>
      <c r="C1433" s="21" t="s">
        <v>7212</v>
      </c>
      <c r="D1433" s="21" t="s">
        <v>37</v>
      </c>
      <c r="E1433" s="21" t="s">
        <v>7580</v>
      </c>
      <c r="F1433" s="21" t="s">
        <v>7581</v>
      </c>
      <c r="G1433" s="21"/>
    </row>
    <row r="1434" ht="15.75" customHeight="1">
      <c r="A1434" s="20" t="s">
        <v>7582</v>
      </c>
      <c r="B1434" s="21" t="s">
        <v>7583</v>
      </c>
      <c r="C1434" s="21" t="s">
        <v>7584</v>
      </c>
      <c r="D1434" s="21" t="s">
        <v>37</v>
      </c>
      <c r="E1434" s="21" t="s">
        <v>7585</v>
      </c>
      <c r="F1434" s="21" t="s">
        <v>7586</v>
      </c>
      <c r="G1434" s="21"/>
    </row>
    <row r="1435" ht="15.75" customHeight="1">
      <c r="A1435" s="20" t="s">
        <v>7587</v>
      </c>
      <c r="B1435" s="21" t="s">
        <v>7588</v>
      </c>
      <c r="C1435" s="21" t="s">
        <v>1898</v>
      </c>
      <c r="D1435" s="21" t="s">
        <v>37</v>
      </c>
      <c r="E1435" s="21" t="s">
        <v>7589</v>
      </c>
      <c r="F1435" s="21" t="s">
        <v>7590</v>
      </c>
      <c r="G1435" s="21"/>
    </row>
    <row r="1436" ht="15.75" customHeight="1">
      <c r="A1436" s="20" t="s">
        <v>7591</v>
      </c>
      <c r="B1436" s="21" t="s">
        <v>7164</v>
      </c>
      <c r="C1436" s="21" t="s">
        <v>7165</v>
      </c>
      <c r="D1436" s="21" t="s">
        <v>37</v>
      </c>
      <c r="E1436" s="21" t="s">
        <v>7592</v>
      </c>
      <c r="F1436" s="21"/>
      <c r="G1436" s="21"/>
    </row>
    <row r="1437" ht="15.75" customHeight="1">
      <c r="A1437" s="20" t="s">
        <v>7593</v>
      </c>
      <c r="B1437" s="21" t="s">
        <v>7164</v>
      </c>
      <c r="C1437" s="21" t="s">
        <v>7165</v>
      </c>
      <c r="D1437" s="21" t="s">
        <v>37</v>
      </c>
      <c r="E1437" s="21" t="s">
        <v>7594</v>
      </c>
      <c r="F1437" s="21" t="s">
        <v>7595</v>
      </c>
      <c r="G1437" s="21"/>
    </row>
    <row r="1438" ht="15.75" customHeight="1">
      <c r="A1438" s="20" t="s">
        <v>7596</v>
      </c>
      <c r="B1438" s="21" t="s">
        <v>7597</v>
      </c>
      <c r="C1438" s="21" t="s">
        <v>7598</v>
      </c>
      <c r="D1438" s="21" t="s">
        <v>37</v>
      </c>
      <c r="E1438" s="21" t="s">
        <v>7599</v>
      </c>
      <c r="F1438" s="21" t="s">
        <v>7600</v>
      </c>
      <c r="G1438" s="21"/>
    </row>
    <row r="1439" ht="15.75" customHeight="1">
      <c r="A1439" s="20" t="s">
        <v>7601</v>
      </c>
      <c r="B1439" s="21" t="s">
        <v>7602</v>
      </c>
      <c r="C1439" s="21" t="s">
        <v>7603</v>
      </c>
      <c r="D1439" s="21" t="s">
        <v>37</v>
      </c>
      <c r="E1439" s="21" t="s">
        <v>7604</v>
      </c>
      <c r="F1439" s="21" t="s">
        <v>7605</v>
      </c>
      <c r="G1439" s="21"/>
    </row>
    <row r="1440" ht="15.75" customHeight="1">
      <c r="A1440" s="20" t="s">
        <v>7606</v>
      </c>
      <c r="B1440" s="21" t="s">
        <v>7607</v>
      </c>
      <c r="C1440" s="21" t="s">
        <v>7165</v>
      </c>
      <c r="D1440" s="21" t="s">
        <v>37</v>
      </c>
      <c r="E1440" s="21" t="s">
        <v>7608</v>
      </c>
      <c r="F1440" s="21" t="s">
        <v>7609</v>
      </c>
      <c r="G1440" s="21"/>
    </row>
    <row r="1441" ht="15.75" customHeight="1">
      <c r="A1441" s="20" t="s">
        <v>7610</v>
      </c>
      <c r="B1441" s="21" t="s">
        <v>1643</v>
      </c>
      <c r="C1441" s="21" t="s">
        <v>1645</v>
      </c>
      <c r="D1441" s="21" t="s">
        <v>37</v>
      </c>
      <c r="E1441" s="21" t="s">
        <v>7611</v>
      </c>
      <c r="F1441" s="21" t="s">
        <v>7612</v>
      </c>
      <c r="G1441" s="21"/>
    </row>
    <row r="1442" ht="15.75" customHeight="1">
      <c r="A1442" s="20" t="s">
        <v>7613</v>
      </c>
      <c r="B1442" s="21" t="s">
        <v>1643</v>
      </c>
      <c r="C1442" s="21" t="s">
        <v>1645</v>
      </c>
      <c r="D1442" s="21" t="s">
        <v>37</v>
      </c>
      <c r="E1442" s="21" t="s">
        <v>7614</v>
      </c>
      <c r="F1442" s="21" t="s">
        <v>7615</v>
      </c>
      <c r="G1442" s="21"/>
    </row>
    <row r="1443" ht="15.75" customHeight="1">
      <c r="A1443" s="20" t="s">
        <v>7616</v>
      </c>
      <c r="B1443" s="21" t="s">
        <v>7617</v>
      </c>
      <c r="C1443" s="21" t="s">
        <v>7202</v>
      </c>
      <c r="D1443" s="21" t="s">
        <v>37</v>
      </c>
      <c r="E1443" s="21" t="s">
        <v>7618</v>
      </c>
      <c r="F1443" s="21" t="s">
        <v>7619</v>
      </c>
      <c r="G1443" s="21"/>
    </row>
    <row r="1444" ht="15.75" customHeight="1">
      <c r="A1444" s="20"/>
      <c r="B1444" s="21"/>
      <c r="C1444" s="21"/>
      <c r="D1444" s="21"/>
      <c r="E1444" s="21"/>
      <c r="F1444" s="21"/>
      <c r="G1444" s="21"/>
    </row>
    <row r="1445" ht="15.75" customHeight="1">
      <c r="A1445" s="20" t="s">
        <v>7620</v>
      </c>
      <c r="B1445" s="21"/>
      <c r="C1445" s="21"/>
      <c r="D1445" s="21" t="s">
        <v>47</v>
      </c>
      <c r="E1445" s="21" t="s">
        <v>7621</v>
      </c>
      <c r="F1445" s="21" t="s">
        <v>7622</v>
      </c>
      <c r="G1445" s="21"/>
    </row>
    <row r="1446" ht="15.75" customHeight="1">
      <c r="A1446" s="20" t="s">
        <v>7623</v>
      </c>
      <c r="B1446" s="21"/>
      <c r="C1446" s="21"/>
      <c r="D1446" s="21" t="s">
        <v>47</v>
      </c>
      <c r="E1446" s="21" t="s">
        <v>7624</v>
      </c>
      <c r="F1446" s="21" t="s">
        <v>7625</v>
      </c>
      <c r="G1446" s="21"/>
    </row>
    <row r="1447" ht="15.75" customHeight="1">
      <c r="A1447" s="20" t="s">
        <v>7626</v>
      </c>
      <c r="B1447" s="21"/>
      <c r="C1447" s="21"/>
      <c r="D1447" s="21" t="s">
        <v>47</v>
      </c>
      <c r="E1447" s="21" t="s">
        <v>7627</v>
      </c>
      <c r="F1447" s="21" t="s">
        <v>7628</v>
      </c>
      <c r="G1447" s="21"/>
    </row>
    <row r="1448" ht="15.75" customHeight="1">
      <c r="A1448" s="20" t="s">
        <v>7629</v>
      </c>
      <c r="B1448" s="21"/>
      <c r="C1448" s="21"/>
      <c r="D1448" s="21" t="s">
        <v>47</v>
      </c>
      <c r="E1448" s="21" t="s">
        <v>7630</v>
      </c>
      <c r="F1448" s="21" t="s">
        <v>7631</v>
      </c>
      <c r="G1448" s="21"/>
    </row>
    <row r="1449" ht="15.75" customHeight="1">
      <c r="A1449" s="20" t="s">
        <v>7632</v>
      </c>
      <c r="B1449" s="21"/>
      <c r="C1449" s="21"/>
      <c r="D1449" s="21" t="s">
        <v>47</v>
      </c>
      <c r="E1449" s="21" t="s">
        <v>7633</v>
      </c>
      <c r="F1449" s="21" t="s">
        <v>7634</v>
      </c>
      <c r="G1449" s="21"/>
    </row>
    <row r="1450" ht="15.75" customHeight="1">
      <c r="A1450" s="20" t="s">
        <v>7635</v>
      </c>
      <c r="B1450" s="21"/>
      <c r="C1450" s="21"/>
      <c r="D1450" s="21" t="s">
        <v>47</v>
      </c>
      <c r="E1450" s="21" t="s">
        <v>7636</v>
      </c>
      <c r="F1450" s="21" t="s">
        <v>7637</v>
      </c>
      <c r="G1450" s="21"/>
    </row>
    <row r="1451" ht="15.75" customHeight="1">
      <c r="A1451" s="20" t="s">
        <v>7638</v>
      </c>
      <c r="B1451" s="21"/>
      <c r="C1451" s="21"/>
      <c r="D1451" s="21" t="s">
        <v>47</v>
      </c>
      <c r="E1451" s="21" t="s">
        <v>7639</v>
      </c>
      <c r="F1451" s="21" t="s">
        <v>7640</v>
      </c>
      <c r="G1451" s="21"/>
    </row>
    <row r="1452" ht="15.75" customHeight="1">
      <c r="A1452" s="20" t="s">
        <v>7641</v>
      </c>
      <c r="B1452" s="21"/>
      <c r="C1452" s="21"/>
      <c r="D1452" s="21" t="s">
        <v>47</v>
      </c>
      <c r="E1452" s="21" t="s">
        <v>1906</v>
      </c>
      <c r="F1452" s="21" t="s">
        <v>7642</v>
      </c>
      <c r="G1452" s="21"/>
    </row>
    <row r="1453" ht="15.75" customHeight="1">
      <c r="A1453" s="20" t="s">
        <v>2549</v>
      </c>
      <c r="B1453" s="21"/>
      <c r="C1453" s="21"/>
      <c r="D1453" s="21" t="s">
        <v>47</v>
      </c>
      <c r="E1453" s="21" t="s">
        <v>2551</v>
      </c>
      <c r="F1453" s="21" t="s">
        <v>7643</v>
      </c>
      <c r="G1453" s="21"/>
    </row>
    <row r="1454" ht="15.75" customHeight="1">
      <c r="A1454" s="20" t="s">
        <v>7644</v>
      </c>
      <c r="B1454" s="21"/>
      <c r="C1454" s="21"/>
      <c r="D1454" s="21" t="s">
        <v>47</v>
      </c>
      <c r="E1454" s="21" t="s">
        <v>7645</v>
      </c>
      <c r="F1454" s="21" t="s">
        <v>7646</v>
      </c>
      <c r="G1454" s="21"/>
    </row>
    <row r="1455" ht="15.75" customHeight="1">
      <c r="A1455" s="20" t="s">
        <v>7647</v>
      </c>
      <c r="B1455" s="21"/>
      <c r="C1455" s="21"/>
      <c r="D1455" s="21" t="s">
        <v>47</v>
      </c>
      <c r="E1455" s="21" t="s">
        <v>7648</v>
      </c>
      <c r="F1455" s="21" t="s">
        <v>7649</v>
      </c>
      <c r="G1455" s="21"/>
    </row>
    <row r="1456" ht="15.75" customHeight="1">
      <c r="A1456" s="20" t="s">
        <v>7650</v>
      </c>
      <c r="B1456" s="21"/>
      <c r="C1456" s="21"/>
      <c r="D1456" s="21" t="s">
        <v>47</v>
      </c>
      <c r="E1456" s="21" t="s">
        <v>7651</v>
      </c>
      <c r="F1456" s="21" t="s">
        <v>7652</v>
      </c>
      <c r="G1456" s="21"/>
    </row>
    <row r="1457" ht="15.75" customHeight="1">
      <c r="A1457" s="20" t="s">
        <v>3727</v>
      </c>
      <c r="B1457" s="21"/>
      <c r="C1457" s="21"/>
      <c r="D1457" s="21" t="s">
        <v>47</v>
      </c>
      <c r="E1457" s="21" t="s">
        <v>7653</v>
      </c>
      <c r="F1457" s="21" t="s">
        <v>7654</v>
      </c>
      <c r="G1457" s="21"/>
    </row>
    <row r="1458" ht="15.75" customHeight="1">
      <c r="A1458" s="20" t="s">
        <v>7655</v>
      </c>
      <c r="B1458" s="21"/>
      <c r="C1458" s="21"/>
      <c r="D1458" s="21" t="s">
        <v>47</v>
      </c>
      <c r="E1458" s="21" t="s">
        <v>7656</v>
      </c>
      <c r="F1458" s="21" t="s">
        <v>7657</v>
      </c>
      <c r="G1458" s="21"/>
    </row>
    <row r="1459" ht="15.75" customHeight="1">
      <c r="A1459" s="20" t="s">
        <v>7658</v>
      </c>
      <c r="B1459" s="21"/>
      <c r="C1459" s="21"/>
      <c r="D1459" s="21" t="s">
        <v>47</v>
      </c>
      <c r="E1459" s="21" t="s">
        <v>7659</v>
      </c>
      <c r="F1459" s="21" t="s">
        <v>7660</v>
      </c>
      <c r="G1459" s="21"/>
    </row>
    <row r="1460" ht="15.75" customHeight="1">
      <c r="A1460" s="20" t="s">
        <v>7661</v>
      </c>
      <c r="B1460" s="21" t="s">
        <v>7662</v>
      </c>
      <c r="C1460" s="21">
        <v>85680.0</v>
      </c>
      <c r="D1460" s="21" t="s">
        <v>47</v>
      </c>
      <c r="E1460" s="21" t="s">
        <v>7663</v>
      </c>
      <c r="F1460" s="21" t="s">
        <v>7664</v>
      </c>
      <c r="G1460" s="21"/>
    </row>
    <row r="1461" ht="15.75" customHeight="1">
      <c r="A1461" s="20" t="s">
        <v>6804</v>
      </c>
      <c r="B1461" s="21" t="s">
        <v>7665</v>
      </c>
      <c r="C1461" s="21" t="s">
        <v>7666</v>
      </c>
      <c r="D1461" s="21" t="s">
        <v>47</v>
      </c>
      <c r="E1461" s="21" t="s">
        <v>7667</v>
      </c>
      <c r="F1461" s="21" t="s">
        <v>7668</v>
      </c>
      <c r="G1461" s="21"/>
    </row>
    <row r="1462" ht="15.75" customHeight="1">
      <c r="A1462" s="20" t="s">
        <v>7669</v>
      </c>
      <c r="B1462" s="21" t="s">
        <v>7670</v>
      </c>
      <c r="C1462" s="21" t="s">
        <v>7671</v>
      </c>
      <c r="D1462" s="21" t="s">
        <v>47</v>
      </c>
      <c r="E1462" s="21" t="s">
        <v>7672</v>
      </c>
      <c r="F1462" s="21" t="s">
        <v>7673</v>
      </c>
      <c r="G1462" s="21"/>
    </row>
    <row r="1463" ht="15.75" customHeight="1">
      <c r="A1463" s="20" t="s">
        <v>7674</v>
      </c>
      <c r="B1463" s="21" t="s">
        <v>7675</v>
      </c>
      <c r="C1463" s="21" t="s">
        <v>7676</v>
      </c>
      <c r="D1463" s="21" t="s">
        <v>47</v>
      </c>
      <c r="E1463" s="21" t="s">
        <v>7677</v>
      </c>
      <c r="F1463" s="21" t="s">
        <v>7678</v>
      </c>
      <c r="G1463" s="21"/>
    </row>
    <row r="1464" ht="15.75" customHeight="1">
      <c r="A1464" s="20" t="s">
        <v>7679</v>
      </c>
      <c r="B1464" s="21" t="s">
        <v>7680</v>
      </c>
      <c r="C1464" s="21" t="s">
        <v>7681</v>
      </c>
      <c r="D1464" s="21" t="s">
        <v>47</v>
      </c>
      <c r="E1464" s="21" t="s">
        <v>7682</v>
      </c>
      <c r="F1464" s="21" t="s">
        <v>7683</v>
      </c>
      <c r="G1464" s="21"/>
    </row>
    <row r="1465" ht="15.75" customHeight="1">
      <c r="A1465" s="20" t="s">
        <v>7684</v>
      </c>
      <c r="B1465" s="21" t="s">
        <v>1949</v>
      </c>
      <c r="C1465" s="21" t="s">
        <v>1938</v>
      </c>
      <c r="D1465" s="21" t="s">
        <v>47</v>
      </c>
      <c r="E1465" s="21" t="s">
        <v>7685</v>
      </c>
      <c r="F1465" s="21" t="s">
        <v>7686</v>
      </c>
      <c r="G1465" s="21"/>
    </row>
    <row r="1466" ht="15.75" customHeight="1">
      <c r="A1466" s="20" t="s">
        <v>7687</v>
      </c>
      <c r="B1466" s="21" t="s">
        <v>1949</v>
      </c>
      <c r="C1466" s="21"/>
      <c r="D1466" s="21" t="s">
        <v>47</v>
      </c>
      <c r="E1466" s="21" t="s">
        <v>7688</v>
      </c>
      <c r="F1466" s="21" t="s">
        <v>7689</v>
      </c>
      <c r="G1466" s="21"/>
    </row>
    <row r="1467" ht="15.75" customHeight="1">
      <c r="A1467" s="20" t="s">
        <v>7690</v>
      </c>
      <c r="B1467" s="21" t="s">
        <v>1949</v>
      </c>
      <c r="C1467" s="21" t="s">
        <v>1938</v>
      </c>
      <c r="D1467" s="21" t="s">
        <v>47</v>
      </c>
      <c r="E1467" s="21" t="s">
        <v>7691</v>
      </c>
      <c r="F1467" s="21" t="s">
        <v>7692</v>
      </c>
      <c r="G1467" s="21"/>
    </row>
    <row r="1468" ht="15.75" customHeight="1">
      <c r="A1468" s="20" t="s">
        <v>7693</v>
      </c>
      <c r="B1468" s="21" t="s">
        <v>1949</v>
      </c>
      <c r="C1468" s="21" t="s">
        <v>1938</v>
      </c>
      <c r="D1468" s="21" t="s">
        <v>47</v>
      </c>
      <c r="E1468" s="21" t="s">
        <v>7694</v>
      </c>
      <c r="F1468" s="21" t="s">
        <v>7695</v>
      </c>
      <c r="G1468" s="21"/>
    </row>
    <row r="1469" ht="15.75" customHeight="1">
      <c r="A1469" s="20" t="s">
        <v>7696</v>
      </c>
      <c r="B1469" s="21" t="s">
        <v>1949</v>
      </c>
      <c r="C1469" s="21" t="s">
        <v>1938</v>
      </c>
      <c r="D1469" s="21" t="s">
        <v>47</v>
      </c>
      <c r="E1469" s="21" t="s">
        <v>7697</v>
      </c>
      <c r="F1469" s="21" t="s">
        <v>7698</v>
      </c>
      <c r="G1469" s="21"/>
    </row>
    <row r="1470" ht="15.75" customHeight="1">
      <c r="A1470" s="20" t="s">
        <v>7699</v>
      </c>
      <c r="B1470" s="21" t="s">
        <v>1949</v>
      </c>
      <c r="C1470" s="21" t="s">
        <v>1938</v>
      </c>
      <c r="D1470" s="21" t="s">
        <v>47</v>
      </c>
      <c r="E1470" s="21" t="s">
        <v>7700</v>
      </c>
      <c r="F1470" s="21" t="s">
        <v>7701</v>
      </c>
      <c r="G1470" s="21"/>
    </row>
    <row r="1471" ht="15.75" customHeight="1">
      <c r="A1471" s="20" t="s">
        <v>7702</v>
      </c>
      <c r="B1471" s="21" t="s">
        <v>1949</v>
      </c>
      <c r="C1471" s="21" t="s">
        <v>1938</v>
      </c>
      <c r="D1471" s="21" t="s">
        <v>47</v>
      </c>
      <c r="E1471" s="21" t="s">
        <v>7703</v>
      </c>
      <c r="F1471" s="21"/>
      <c r="G1471" s="21"/>
    </row>
    <row r="1472" ht="15.75" customHeight="1">
      <c r="A1472" s="20" t="s">
        <v>7704</v>
      </c>
      <c r="B1472" s="21" t="s">
        <v>3628</v>
      </c>
      <c r="C1472" s="21" t="s">
        <v>7705</v>
      </c>
      <c r="D1472" s="21" t="s">
        <v>47</v>
      </c>
      <c r="E1472" s="21" t="s">
        <v>7706</v>
      </c>
      <c r="F1472" s="21" t="s">
        <v>7707</v>
      </c>
      <c r="G1472" s="21"/>
    </row>
    <row r="1473" ht="15.75" customHeight="1">
      <c r="A1473" s="20" t="s">
        <v>7708</v>
      </c>
      <c r="B1473" s="21" t="s">
        <v>7709</v>
      </c>
      <c r="C1473" s="21" t="s">
        <v>7710</v>
      </c>
      <c r="D1473" s="21" t="s">
        <v>47</v>
      </c>
      <c r="E1473" s="21" t="s">
        <v>7711</v>
      </c>
      <c r="F1473" s="21" t="s">
        <v>7712</v>
      </c>
      <c r="G1473" s="21"/>
    </row>
    <row r="1474" ht="15.75" customHeight="1">
      <c r="A1474" s="20" t="s">
        <v>7713</v>
      </c>
      <c r="B1474" s="21" t="s">
        <v>7709</v>
      </c>
      <c r="C1474" s="21" t="s">
        <v>7710</v>
      </c>
      <c r="D1474" s="21" t="s">
        <v>47</v>
      </c>
      <c r="E1474" s="21" t="s">
        <v>7714</v>
      </c>
      <c r="F1474" s="21" t="s">
        <v>7715</v>
      </c>
      <c r="G1474" s="21"/>
    </row>
    <row r="1475" ht="15.75" customHeight="1">
      <c r="A1475" s="20" t="s">
        <v>7716</v>
      </c>
      <c r="B1475" s="21" t="s">
        <v>1879</v>
      </c>
      <c r="C1475" s="21" t="s">
        <v>7710</v>
      </c>
      <c r="D1475" s="21" t="s">
        <v>47</v>
      </c>
      <c r="E1475" s="21" t="s">
        <v>7717</v>
      </c>
      <c r="F1475" s="21" t="s">
        <v>7718</v>
      </c>
      <c r="G1475" s="21"/>
    </row>
    <row r="1476" ht="15.75" customHeight="1">
      <c r="A1476" s="20" t="s">
        <v>7719</v>
      </c>
      <c r="B1476" s="21" t="s">
        <v>1879</v>
      </c>
      <c r="C1476" s="21" t="s">
        <v>7710</v>
      </c>
      <c r="D1476" s="21" t="s">
        <v>47</v>
      </c>
      <c r="E1476" s="21" t="s">
        <v>7720</v>
      </c>
      <c r="F1476" s="21" t="s">
        <v>7721</v>
      </c>
      <c r="G1476" s="21"/>
    </row>
    <row r="1477" ht="15.75" customHeight="1">
      <c r="A1477" s="20" t="s">
        <v>7722</v>
      </c>
      <c r="B1477" s="21" t="s">
        <v>1879</v>
      </c>
      <c r="C1477" s="21" t="s">
        <v>7710</v>
      </c>
      <c r="D1477" s="21" t="s">
        <v>47</v>
      </c>
      <c r="E1477" s="21" t="s">
        <v>7723</v>
      </c>
      <c r="F1477" s="21" t="s">
        <v>7724</v>
      </c>
      <c r="G1477" s="21"/>
    </row>
    <row r="1478" ht="15.75" customHeight="1">
      <c r="A1478" s="20" t="s">
        <v>7725</v>
      </c>
      <c r="B1478" s="21" t="s">
        <v>1879</v>
      </c>
      <c r="C1478" s="21" t="s">
        <v>7710</v>
      </c>
      <c r="D1478" s="21" t="s">
        <v>47</v>
      </c>
      <c r="E1478" s="21" t="s">
        <v>7726</v>
      </c>
      <c r="F1478" s="21" t="s">
        <v>7727</v>
      </c>
      <c r="G1478" s="21"/>
    </row>
    <row r="1479" ht="15.75" customHeight="1">
      <c r="A1479" s="20" t="s">
        <v>7728</v>
      </c>
      <c r="B1479" s="21" t="s">
        <v>1879</v>
      </c>
      <c r="C1479" s="21" t="s">
        <v>7710</v>
      </c>
      <c r="D1479" s="21" t="s">
        <v>47</v>
      </c>
      <c r="E1479" s="21" t="s">
        <v>7729</v>
      </c>
      <c r="F1479" s="21" t="s">
        <v>7730</v>
      </c>
      <c r="G1479" s="21"/>
    </row>
    <row r="1480" ht="15.75" customHeight="1">
      <c r="A1480" s="20" t="s">
        <v>7731</v>
      </c>
      <c r="B1480" s="21" t="s">
        <v>1879</v>
      </c>
      <c r="C1480" s="21" t="s">
        <v>7710</v>
      </c>
      <c r="D1480" s="21" t="s">
        <v>47</v>
      </c>
      <c r="E1480" s="21" t="s">
        <v>7732</v>
      </c>
      <c r="F1480" s="21" t="s">
        <v>7733</v>
      </c>
      <c r="G1480" s="21"/>
    </row>
    <row r="1481" ht="15.75" customHeight="1">
      <c r="A1481" s="20" t="s">
        <v>7734</v>
      </c>
      <c r="B1481" s="21" t="s">
        <v>1879</v>
      </c>
      <c r="C1481" s="21" t="s">
        <v>7710</v>
      </c>
      <c r="D1481" s="21" t="s">
        <v>47</v>
      </c>
      <c r="E1481" s="21" t="s">
        <v>7735</v>
      </c>
      <c r="F1481" s="21" t="s">
        <v>7736</v>
      </c>
      <c r="G1481" s="21"/>
    </row>
    <row r="1482" ht="15.75" customHeight="1">
      <c r="A1482" s="20" t="s">
        <v>7737</v>
      </c>
      <c r="B1482" s="21" t="s">
        <v>2045</v>
      </c>
      <c r="C1482" s="21" t="s">
        <v>7738</v>
      </c>
      <c r="D1482" s="21" t="s">
        <v>47</v>
      </c>
      <c r="E1482" s="21" t="s">
        <v>7739</v>
      </c>
      <c r="F1482" s="21" t="s">
        <v>7740</v>
      </c>
      <c r="G1482" s="21"/>
    </row>
    <row r="1483" ht="15.75" customHeight="1">
      <c r="A1483" s="20" t="s">
        <v>2567</v>
      </c>
      <c r="B1483" s="21" t="s">
        <v>2045</v>
      </c>
      <c r="C1483" s="21" t="s">
        <v>7738</v>
      </c>
      <c r="D1483" s="21" t="s">
        <v>47</v>
      </c>
      <c r="E1483" s="21" t="s">
        <v>7741</v>
      </c>
      <c r="F1483" s="21" t="s">
        <v>7742</v>
      </c>
      <c r="G1483" s="21"/>
    </row>
    <row r="1484" ht="15.75" customHeight="1">
      <c r="A1484" s="20" t="s">
        <v>7743</v>
      </c>
      <c r="B1484" s="21" t="s">
        <v>7744</v>
      </c>
      <c r="C1484" s="21" t="s">
        <v>7745</v>
      </c>
      <c r="D1484" s="21" t="s">
        <v>47</v>
      </c>
      <c r="E1484" s="21" t="s">
        <v>7746</v>
      </c>
      <c r="F1484" s="21" t="s">
        <v>7747</v>
      </c>
      <c r="G1484" s="21"/>
    </row>
    <row r="1485" ht="15.75" customHeight="1">
      <c r="A1485" s="20" t="s">
        <v>7748</v>
      </c>
      <c r="B1485" s="21" t="s">
        <v>7749</v>
      </c>
      <c r="C1485" s="21" t="s">
        <v>7745</v>
      </c>
      <c r="D1485" s="21" t="s">
        <v>47</v>
      </c>
      <c r="E1485" s="21" t="s">
        <v>7750</v>
      </c>
      <c r="F1485" s="21" t="s">
        <v>7751</v>
      </c>
      <c r="G1485" s="21"/>
    </row>
    <row r="1486" ht="15.75" customHeight="1">
      <c r="A1486" s="20" t="s">
        <v>7752</v>
      </c>
      <c r="B1486" s="21" t="s">
        <v>7753</v>
      </c>
      <c r="C1486" s="21" t="s">
        <v>7754</v>
      </c>
      <c r="D1486" s="21" t="s">
        <v>47</v>
      </c>
      <c r="E1486" s="21" t="s">
        <v>7755</v>
      </c>
      <c r="F1486" s="21" t="s">
        <v>7756</v>
      </c>
      <c r="G1486" s="21"/>
    </row>
    <row r="1487" ht="15.75" customHeight="1">
      <c r="A1487" s="43" t="s">
        <v>7757</v>
      </c>
      <c r="B1487" s="21" t="s">
        <v>7758</v>
      </c>
      <c r="C1487" s="21">
        <v>85330.0</v>
      </c>
      <c r="D1487" s="21" t="s">
        <v>47</v>
      </c>
      <c r="E1487" s="9" t="s">
        <v>7759</v>
      </c>
      <c r="F1487" s="21" t="s">
        <v>7760</v>
      </c>
      <c r="G1487" s="21" t="s">
        <v>7761</v>
      </c>
    </row>
    <row r="1488" ht="15.75" customHeight="1">
      <c r="A1488" s="43" t="s">
        <v>7762</v>
      </c>
      <c r="B1488" s="21" t="s">
        <v>7763</v>
      </c>
      <c r="C1488" s="21">
        <v>85270.0</v>
      </c>
      <c r="D1488" s="21" t="s">
        <v>47</v>
      </c>
      <c r="E1488" s="9" t="s">
        <v>7764</v>
      </c>
      <c r="F1488" s="21" t="s">
        <v>7765</v>
      </c>
      <c r="G1488" s="21"/>
    </row>
    <row r="1489" ht="15.75" customHeight="1">
      <c r="A1489" s="43" t="s">
        <v>7766</v>
      </c>
      <c r="B1489" s="21" t="s">
        <v>7767</v>
      </c>
      <c r="C1489" s="21"/>
      <c r="D1489" s="21" t="s">
        <v>47</v>
      </c>
      <c r="E1489" s="9" t="s">
        <v>7768</v>
      </c>
      <c r="F1489" s="21"/>
      <c r="G1489" s="21"/>
    </row>
    <row r="1490" ht="15.75" customHeight="1">
      <c r="A1490" s="59" t="s">
        <v>7769</v>
      </c>
      <c r="B1490" s="21"/>
      <c r="C1490" s="21"/>
      <c r="D1490" s="21" t="s">
        <v>47</v>
      </c>
      <c r="E1490" s="60" t="s">
        <v>7770</v>
      </c>
      <c r="F1490" s="21"/>
      <c r="G1490" s="21"/>
    </row>
    <row r="1491" ht="15.75" customHeight="1">
      <c r="A1491" s="59" t="s">
        <v>7771</v>
      </c>
      <c r="B1491" s="21"/>
      <c r="C1491" s="21"/>
      <c r="D1491" s="21" t="s">
        <v>47</v>
      </c>
      <c r="E1491" s="60" t="s">
        <v>7772</v>
      </c>
      <c r="F1491" s="21"/>
      <c r="G1491" s="21" t="s">
        <v>7773</v>
      </c>
    </row>
    <row r="1492" ht="15.75" customHeight="1">
      <c r="A1492" s="20"/>
      <c r="B1492" s="21"/>
      <c r="C1492" s="21"/>
      <c r="D1492" s="21"/>
      <c r="E1492" s="21"/>
      <c r="F1492" s="21"/>
      <c r="G1492" s="21"/>
    </row>
    <row r="1493" ht="15.75" customHeight="1">
      <c r="A1493" s="20" t="s">
        <v>7774</v>
      </c>
      <c r="B1493" s="21"/>
      <c r="C1493" s="21"/>
      <c r="D1493" s="21" t="s">
        <v>42</v>
      </c>
      <c r="E1493" s="21" t="s">
        <v>7775</v>
      </c>
      <c r="F1493" s="21" t="s">
        <v>7776</v>
      </c>
      <c r="G1493" s="21"/>
    </row>
    <row r="1494" ht="15.75" customHeight="1">
      <c r="A1494" s="20" t="s">
        <v>7777</v>
      </c>
      <c r="B1494" s="21"/>
      <c r="C1494" s="21" t="s">
        <v>2262</v>
      </c>
      <c r="D1494" s="21" t="s">
        <v>42</v>
      </c>
      <c r="E1494" s="21" t="s">
        <v>7778</v>
      </c>
      <c r="F1494" s="21" t="s">
        <v>7779</v>
      </c>
      <c r="G1494" s="21"/>
    </row>
    <row r="1495" ht="15.75" customHeight="1">
      <c r="A1495" s="20" t="s">
        <v>7780</v>
      </c>
      <c r="B1495" s="21"/>
      <c r="C1495" s="21"/>
      <c r="D1495" s="21" t="s">
        <v>42</v>
      </c>
      <c r="E1495" s="21" t="s">
        <v>7781</v>
      </c>
      <c r="F1495" s="21" t="s">
        <v>7782</v>
      </c>
      <c r="G1495" s="21"/>
    </row>
    <row r="1496" ht="15.75" customHeight="1">
      <c r="A1496" s="20" t="s">
        <v>7783</v>
      </c>
      <c r="B1496" s="21"/>
      <c r="C1496" s="21"/>
      <c r="D1496" s="21" t="s">
        <v>42</v>
      </c>
      <c r="E1496" s="21" t="s">
        <v>7784</v>
      </c>
      <c r="F1496" s="21" t="s">
        <v>7785</v>
      </c>
      <c r="G1496" s="21"/>
    </row>
    <row r="1497" ht="15.75" customHeight="1">
      <c r="A1497" s="20" t="s">
        <v>7786</v>
      </c>
      <c r="B1497" s="21"/>
      <c r="C1497" s="21"/>
      <c r="D1497" s="21" t="s">
        <v>42</v>
      </c>
      <c r="E1497" s="21" t="s">
        <v>7787</v>
      </c>
      <c r="F1497" s="21"/>
      <c r="G1497" s="21"/>
    </row>
    <row r="1498" ht="15.75" customHeight="1">
      <c r="A1498" s="20" t="s">
        <v>7788</v>
      </c>
      <c r="B1498" s="21"/>
      <c r="C1498" s="21"/>
      <c r="D1498" s="21" t="s">
        <v>42</v>
      </c>
      <c r="E1498" s="21" t="s">
        <v>7789</v>
      </c>
      <c r="F1498" s="21" t="s">
        <v>7790</v>
      </c>
      <c r="G1498" s="21"/>
    </row>
    <row r="1499" ht="15.75" customHeight="1">
      <c r="A1499" s="20" t="s">
        <v>7791</v>
      </c>
      <c r="B1499" s="21"/>
      <c r="C1499" s="21"/>
      <c r="D1499" s="21" t="s">
        <v>42</v>
      </c>
      <c r="E1499" s="21" t="s">
        <v>7792</v>
      </c>
      <c r="F1499" s="21" t="s">
        <v>7793</v>
      </c>
      <c r="G1499" s="21"/>
    </row>
    <row r="1500" ht="15.75" customHeight="1">
      <c r="A1500" s="20" t="s">
        <v>7794</v>
      </c>
      <c r="B1500" s="21"/>
      <c r="C1500" s="21"/>
      <c r="D1500" s="21" t="s">
        <v>42</v>
      </c>
      <c r="E1500" s="21" t="s">
        <v>7795</v>
      </c>
      <c r="F1500" s="21" t="s">
        <v>7796</v>
      </c>
      <c r="G1500" s="21"/>
    </row>
    <row r="1501" ht="15.75" customHeight="1">
      <c r="A1501" s="20" t="s">
        <v>7797</v>
      </c>
      <c r="B1501" s="21"/>
      <c r="C1501" s="21"/>
      <c r="D1501" s="21" t="s">
        <v>42</v>
      </c>
      <c r="E1501" s="21" t="s">
        <v>7798</v>
      </c>
      <c r="F1501" s="21" t="s">
        <v>7799</v>
      </c>
      <c r="G1501" s="21"/>
    </row>
    <row r="1502" ht="15.75" customHeight="1">
      <c r="A1502" s="20" t="s">
        <v>7800</v>
      </c>
      <c r="B1502" s="21"/>
      <c r="C1502" s="21"/>
      <c r="D1502" s="21" t="s">
        <v>42</v>
      </c>
      <c r="E1502" s="21" t="s">
        <v>7801</v>
      </c>
      <c r="F1502" s="21" t="s">
        <v>7802</v>
      </c>
      <c r="G1502" s="21"/>
    </row>
    <row r="1503" ht="15.75" customHeight="1">
      <c r="A1503" s="20" t="s">
        <v>7803</v>
      </c>
      <c r="B1503" s="21"/>
      <c r="C1503" s="21"/>
      <c r="D1503" s="21" t="s">
        <v>42</v>
      </c>
      <c r="E1503" s="21" t="s">
        <v>7804</v>
      </c>
      <c r="F1503" s="21" t="s">
        <v>7805</v>
      </c>
      <c r="G1503" s="21"/>
    </row>
    <row r="1504" ht="15.75" customHeight="1">
      <c r="A1504" s="20" t="s">
        <v>7806</v>
      </c>
      <c r="B1504" s="21"/>
      <c r="C1504" s="21"/>
      <c r="D1504" s="21" t="s">
        <v>42</v>
      </c>
      <c r="E1504" s="21" t="s">
        <v>7807</v>
      </c>
      <c r="F1504" s="21"/>
      <c r="G1504" s="21"/>
    </row>
    <row r="1505" ht="15.75" customHeight="1">
      <c r="A1505" s="20" t="s">
        <v>7808</v>
      </c>
      <c r="B1505" s="21"/>
      <c r="C1505" s="21"/>
      <c r="D1505" s="21" t="s">
        <v>42</v>
      </c>
      <c r="E1505" s="21" t="s">
        <v>7809</v>
      </c>
      <c r="F1505" s="21" t="s">
        <v>7810</v>
      </c>
      <c r="G1505" s="21"/>
    </row>
    <row r="1506" ht="15.75" customHeight="1">
      <c r="A1506" s="20" t="s">
        <v>7811</v>
      </c>
      <c r="B1506" s="21"/>
      <c r="C1506" s="21" t="s">
        <v>1666</v>
      </c>
      <c r="D1506" s="21" t="s">
        <v>42</v>
      </c>
      <c r="E1506" s="21" t="s">
        <v>7812</v>
      </c>
      <c r="F1506" s="21" t="s">
        <v>7813</v>
      </c>
      <c r="G1506" s="21"/>
    </row>
    <row r="1507" ht="15.75" customHeight="1">
      <c r="A1507" s="20" t="s">
        <v>7814</v>
      </c>
      <c r="B1507" s="21"/>
      <c r="C1507" s="21"/>
      <c r="D1507" s="21" t="s">
        <v>42</v>
      </c>
      <c r="E1507" s="21" t="s">
        <v>7815</v>
      </c>
      <c r="F1507" s="21" t="s">
        <v>7816</v>
      </c>
      <c r="G1507" s="21"/>
    </row>
    <row r="1508" ht="15.75" customHeight="1">
      <c r="A1508" s="20" t="s">
        <v>7817</v>
      </c>
      <c r="B1508" s="21"/>
      <c r="C1508" s="21"/>
      <c r="D1508" s="21" t="s">
        <v>42</v>
      </c>
      <c r="E1508" s="21" t="s">
        <v>7818</v>
      </c>
      <c r="F1508" s="21" t="s">
        <v>7819</v>
      </c>
      <c r="G1508" s="21"/>
    </row>
    <row r="1509" ht="15.75" customHeight="1">
      <c r="A1509" s="20" t="s">
        <v>7820</v>
      </c>
      <c r="B1509" s="21"/>
      <c r="C1509" s="21"/>
      <c r="D1509" s="21" t="s">
        <v>42</v>
      </c>
      <c r="E1509" s="21" t="s">
        <v>7821</v>
      </c>
      <c r="F1509" s="21" t="s">
        <v>7822</v>
      </c>
      <c r="G1509" s="21" t="s">
        <v>7823</v>
      </c>
      <c r="H1509" s="9" t="s">
        <v>7824</v>
      </c>
    </row>
    <row r="1510" ht="15.75" customHeight="1">
      <c r="A1510" s="20" t="s">
        <v>7825</v>
      </c>
      <c r="B1510" s="21"/>
      <c r="C1510" s="21"/>
      <c r="D1510" s="21" t="s">
        <v>42</v>
      </c>
      <c r="E1510" s="21" t="s">
        <v>7826</v>
      </c>
      <c r="F1510" s="21" t="s">
        <v>7827</v>
      </c>
      <c r="G1510" s="21"/>
    </row>
    <row r="1511" ht="15.75" customHeight="1">
      <c r="A1511" s="20" t="s">
        <v>7828</v>
      </c>
      <c r="B1511" s="21"/>
      <c r="C1511" s="21" t="s">
        <v>7829</v>
      </c>
      <c r="D1511" s="21" t="s">
        <v>42</v>
      </c>
      <c r="E1511" s="21" t="s">
        <v>7830</v>
      </c>
      <c r="F1511" s="21" t="s">
        <v>7831</v>
      </c>
      <c r="G1511" s="21"/>
    </row>
    <row r="1512" ht="15.75" customHeight="1">
      <c r="A1512" s="20" t="s">
        <v>7832</v>
      </c>
      <c r="B1512" s="21" t="s">
        <v>2108</v>
      </c>
      <c r="C1512" s="21" t="s">
        <v>2109</v>
      </c>
      <c r="D1512" s="21" t="s">
        <v>42</v>
      </c>
      <c r="E1512" s="21" t="s">
        <v>7833</v>
      </c>
      <c r="F1512" s="21" t="s">
        <v>7834</v>
      </c>
      <c r="G1512" s="21"/>
    </row>
    <row r="1513" ht="15.75" customHeight="1">
      <c r="A1513" s="20" t="s">
        <v>2777</v>
      </c>
      <c r="B1513" s="21" t="s">
        <v>2108</v>
      </c>
      <c r="C1513" s="21" t="s">
        <v>2109</v>
      </c>
      <c r="D1513" s="21" t="s">
        <v>42</v>
      </c>
      <c r="E1513" s="21" t="s">
        <v>7835</v>
      </c>
      <c r="F1513" s="21" t="s">
        <v>7836</v>
      </c>
      <c r="G1513" s="21"/>
    </row>
    <row r="1514" ht="15.75" customHeight="1">
      <c r="A1514" s="20" t="s">
        <v>7837</v>
      </c>
      <c r="B1514" s="21" t="s">
        <v>2108</v>
      </c>
      <c r="C1514" s="21" t="s">
        <v>2109</v>
      </c>
      <c r="D1514" s="21" t="s">
        <v>42</v>
      </c>
      <c r="E1514" s="21" t="s">
        <v>7838</v>
      </c>
      <c r="F1514" s="21" t="s">
        <v>7839</v>
      </c>
      <c r="G1514" s="21"/>
    </row>
    <row r="1515" ht="15.75" customHeight="1">
      <c r="A1515" s="20" t="s">
        <v>7840</v>
      </c>
      <c r="B1515" s="21" t="s">
        <v>7841</v>
      </c>
      <c r="C1515" s="21" t="s">
        <v>7842</v>
      </c>
      <c r="D1515" s="21" t="s">
        <v>42</v>
      </c>
      <c r="E1515" s="21" t="s">
        <v>7843</v>
      </c>
      <c r="F1515" s="21" t="s">
        <v>7844</v>
      </c>
      <c r="G1515" s="21"/>
    </row>
    <row r="1516" ht="15.75" customHeight="1">
      <c r="A1516" s="20" t="s">
        <v>7845</v>
      </c>
      <c r="B1516" s="21" t="s">
        <v>7846</v>
      </c>
      <c r="C1516" s="21" t="s">
        <v>1687</v>
      </c>
      <c r="D1516" s="21" t="s">
        <v>42</v>
      </c>
      <c r="E1516" s="21" t="s">
        <v>7847</v>
      </c>
      <c r="F1516" s="21" t="s">
        <v>7848</v>
      </c>
      <c r="G1516" s="21"/>
    </row>
    <row r="1517" ht="15.75" customHeight="1">
      <c r="A1517" s="20" t="s">
        <v>7849</v>
      </c>
      <c r="B1517" s="21" t="s">
        <v>7850</v>
      </c>
      <c r="C1517" s="21" t="s">
        <v>7851</v>
      </c>
      <c r="D1517" s="21" t="s">
        <v>42</v>
      </c>
      <c r="E1517" s="21" t="s">
        <v>7852</v>
      </c>
      <c r="F1517" s="21" t="s">
        <v>7853</v>
      </c>
      <c r="G1517" s="21"/>
    </row>
    <row r="1518" ht="15.75" customHeight="1">
      <c r="A1518" s="20" t="s">
        <v>7854</v>
      </c>
      <c r="B1518" s="21" t="s">
        <v>7855</v>
      </c>
      <c r="C1518" s="21" t="s">
        <v>2109</v>
      </c>
      <c r="D1518" s="21" t="s">
        <v>42</v>
      </c>
      <c r="E1518" s="21" t="s">
        <v>7856</v>
      </c>
      <c r="F1518" s="21" t="s">
        <v>7857</v>
      </c>
      <c r="G1518" s="21"/>
    </row>
    <row r="1519" ht="15.75" customHeight="1">
      <c r="A1519" s="20" t="s">
        <v>7858</v>
      </c>
      <c r="B1519" s="21" t="s">
        <v>2156</v>
      </c>
      <c r="C1519" s="21" t="s">
        <v>2157</v>
      </c>
      <c r="D1519" s="21" t="s">
        <v>42</v>
      </c>
      <c r="E1519" s="21" t="s">
        <v>7859</v>
      </c>
      <c r="F1519" s="21" t="s">
        <v>7860</v>
      </c>
      <c r="G1519" s="21"/>
    </row>
    <row r="1520" ht="15.75" customHeight="1">
      <c r="A1520" s="20" t="s">
        <v>7861</v>
      </c>
      <c r="B1520" s="21" t="s">
        <v>7862</v>
      </c>
      <c r="C1520" s="21" t="s">
        <v>7863</v>
      </c>
      <c r="D1520" s="21" t="s">
        <v>42</v>
      </c>
      <c r="E1520" s="21" t="s">
        <v>7864</v>
      </c>
      <c r="F1520" s="21" t="s">
        <v>7865</v>
      </c>
      <c r="G1520" s="21"/>
    </row>
    <row r="1521" ht="15.75" customHeight="1">
      <c r="A1521" s="20" t="s">
        <v>7866</v>
      </c>
      <c r="B1521" s="21" t="s">
        <v>2236</v>
      </c>
      <c r="C1521" s="21" t="s">
        <v>2237</v>
      </c>
      <c r="D1521" s="21" t="s">
        <v>42</v>
      </c>
      <c r="E1521" s="21" t="s">
        <v>7867</v>
      </c>
      <c r="F1521" s="21" t="s">
        <v>7868</v>
      </c>
      <c r="G1521" s="21"/>
    </row>
    <row r="1522" ht="15.75" customHeight="1">
      <c r="A1522" s="20" t="s">
        <v>7869</v>
      </c>
      <c r="B1522" s="21" t="s">
        <v>2062</v>
      </c>
      <c r="C1522" s="21" t="s">
        <v>2262</v>
      </c>
      <c r="D1522" s="21" t="s">
        <v>42</v>
      </c>
      <c r="E1522" s="21" t="s">
        <v>7870</v>
      </c>
      <c r="F1522" s="21" t="s">
        <v>7871</v>
      </c>
      <c r="G1522" s="21"/>
    </row>
    <row r="1523" ht="15.75" customHeight="1">
      <c r="A1523" s="59" t="s">
        <v>7872</v>
      </c>
      <c r="B1523" s="21" t="s">
        <v>2062</v>
      </c>
      <c r="C1523" s="21" t="s">
        <v>7873</v>
      </c>
      <c r="D1523" s="21" t="s">
        <v>42</v>
      </c>
      <c r="E1523" s="60" t="s">
        <v>7874</v>
      </c>
      <c r="F1523" s="60"/>
      <c r="G1523" s="60" t="s">
        <v>7875</v>
      </c>
    </row>
    <row r="1524" ht="15.75" customHeight="1">
      <c r="A1524" s="59" t="s">
        <v>7876</v>
      </c>
      <c r="B1524" s="21" t="s">
        <v>2062</v>
      </c>
      <c r="C1524" s="21" t="s">
        <v>7877</v>
      </c>
      <c r="D1524" s="21" t="s">
        <v>42</v>
      </c>
      <c r="E1524" s="60" t="s">
        <v>7878</v>
      </c>
      <c r="F1524" s="10"/>
      <c r="G1524" s="10" t="s">
        <v>7879</v>
      </c>
    </row>
    <row r="1525" ht="15.75" customHeight="1">
      <c r="A1525" s="61" t="s">
        <v>7880</v>
      </c>
      <c r="B1525" s="21" t="s">
        <v>2062</v>
      </c>
      <c r="C1525" s="21" t="s">
        <v>7881</v>
      </c>
      <c r="D1525" s="21" t="s">
        <v>42</v>
      </c>
      <c r="E1525" s="62" t="s">
        <v>2640</v>
      </c>
      <c r="F1525" s="10"/>
      <c r="G1525" s="10" t="s">
        <v>7882</v>
      </c>
    </row>
    <row r="1526" ht="15.75" customHeight="1">
      <c r="A1526" s="43" t="s">
        <v>7883</v>
      </c>
      <c r="B1526" s="21" t="s">
        <v>2062</v>
      </c>
      <c r="C1526" s="21" t="s">
        <v>7884</v>
      </c>
      <c r="D1526" s="21" t="s">
        <v>42</v>
      </c>
      <c r="E1526" s="9" t="s">
        <v>7885</v>
      </c>
      <c r="F1526" s="10"/>
      <c r="G1526" s="10" t="s">
        <v>7886</v>
      </c>
    </row>
    <row r="1527" ht="15.75" customHeight="1">
      <c r="A1527" s="43" t="s">
        <v>7887</v>
      </c>
      <c r="B1527" s="21" t="s">
        <v>7888</v>
      </c>
      <c r="C1527" s="56">
        <v>56680.0</v>
      </c>
      <c r="D1527" s="21" t="s">
        <v>42</v>
      </c>
      <c r="E1527" s="10" t="s">
        <v>7889</v>
      </c>
      <c r="F1527" s="10" t="s">
        <v>7890</v>
      </c>
      <c r="G1527" s="10" t="s">
        <v>7891</v>
      </c>
      <c r="H1527" s="9" t="s">
        <v>7892</v>
      </c>
    </row>
    <row r="1528" ht="15.75" customHeight="1">
      <c r="A1528" s="43" t="s">
        <v>7893</v>
      </c>
      <c r="B1528" s="21"/>
      <c r="C1528" s="21"/>
      <c r="D1528" s="21"/>
      <c r="E1528" s="10" t="s">
        <v>7894</v>
      </c>
      <c r="F1528" s="10"/>
      <c r="G1528" s="10" t="s">
        <v>7895</v>
      </c>
    </row>
    <row r="1529" ht="15.75" customHeight="1">
      <c r="A1529" s="43" t="s">
        <v>7896</v>
      </c>
      <c r="B1529" s="10"/>
      <c r="C1529" s="10"/>
      <c r="D1529" s="10"/>
      <c r="E1529" s="9" t="s">
        <v>7897</v>
      </c>
      <c r="F1529" s="10"/>
      <c r="G1529" s="9" t="s">
        <v>7898</v>
      </c>
    </row>
    <row r="1530" ht="15.75" customHeight="1">
      <c r="A1530" s="43" t="s">
        <v>7899</v>
      </c>
      <c r="B1530" s="10"/>
      <c r="C1530" s="10"/>
      <c r="D1530" s="10"/>
      <c r="E1530" s="9" t="s">
        <v>7900</v>
      </c>
      <c r="F1530" s="10"/>
      <c r="G1530" s="10"/>
    </row>
    <row r="1531" ht="15.75" customHeight="1">
      <c r="A1531" s="43" t="s">
        <v>7901</v>
      </c>
      <c r="B1531" s="10"/>
      <c r="C1531" s="10"/>
      <c r="D1531" s="10"/>
      <c r="E1531" s="9" t="s">
        <v>7902</v>
      </c>
      <c r="F1531" s="10"/>
      <c r="G1531" s="10"/>
    </row>
    <row r="1532" ht="15.75" customHeight="1">
      <c r="A1532" s="43" t="s">
        <v>7903</v>
      </c>
      <c r="B1532" s="10"/>
      <c r="C1532" s="10"/>
      <c r="D1532" s="10"/>
      <c r="E1532" s="9" t="s">
        <v>7904</v>
      </c>
      <c r="F1532" s="10"/>
      <c r="G1532" s="9" t="s">
        <v>7905</v>
      </c>
    </row>
    <row r="1533" ht="15.75" customHeight="1">
      <c r="A1533" s="24" t="s">
        <v>7906</v>
      </c>
      <c r="B1533" s="21" t="s">
        <v>2062</v>
      </c>
      <c r="C1533" s="21" t="s">
        <v>7884</v>
      </c>
      <c r="D1533" s="21" t="s">
        <v>42</v>
      </c>
      <c r="E1533" s="10" t="s">
        <v>7907</v>
      </c>
      <c r="F1533" s="10"/>
      <c r="G1533" s="10" t="s">
        <v>7908</v>
      </c>
    </row>
    <row r="1534" ht="15.75" customHeight="1">
      <c r="A1534" s="24" t="s">
        <v>7909</v>
      </c>
      <c r="B1534" s="10"/>
      <c r="C1534" s="10"/>
      <c r="D1534" s="10"/>
      <c r="E1534" s="10"/>
      <c r="F1534" s="10"/>
      <c r="G1534" s="10"/>
    </row>
    <row r="1535" ht="15.75" customHeight="1">
      <c r="A1535" s="24"/>
      <c r="B1535" s="10"/>
      <c r="C1535" s="10"/>
      <c r="D1535" s="10"/>
      <c r="E1535" s="10"/>
      <c r="F1535" s="10"/>
      <c r="G1535" s="10"/>
    </row>
    <row r="1536" ht="15.75" customHeight="1">
      <c r="A1536" s="24"/>
      <c r="B1536" s="10"/>
      <c r="C1536" s="10"/>
      <c r="D1536" s="10"/>
      <c r="E1536" s="10"/>
      <c r="F1536" s="10"/>
      <c r="G1536" s="10"/>
    </row>
    <row r="1537" ht="15.75" customHeight="1">
      <c r="A1537" s="24"/>
      <c r="B1537" s="10"/>
      <c r="C1537" s="10"/>
      <c r="D1537" s="10"/>
      <c r="E1537" s="10"/>
      <c r="F1537" s="10"/>
      <c r="G1537" s="10"/>
    </row>
    <row r="1538" ht="15.75" customHeight="1">
      <c r="A1538" s="24"/>
      <c r="B1538" s="10"/>
      <c r="C1538" s="10"/>
      <c r="D1538" s="10"/>
      <c r="E1538" s="10"/>
      <c r="F1538" s="10"/>
      <c r="G1538" s="10"/>
    </row>
    <row r="1539" ht="15.75" customHeight="1">
      <c r="A1539" s="24"/>
      <c r="B1539" s="10"/>
      <c r="C1539" s="10"/>
      <c r="D1539" s="10"/>
      <c r="E1539" s="10"/>
      <c r="F1539" s="10"/>
      <c r="G1539" s="10"/>
    </row>
    <row r="1540" ht="15.75" customHeight="1">
      <c r="A1540" s="24"/>
      <c r="B1540" s="10"/>
      <c r="C1540" s="10"/>
      <c r="D1540" s="10"/>
      <c r="E1540" s="10"/>
      <c r="F1540" s="10"/>
      <c r="G1540" s="10"/>
    </row>
    <row r="1541" ht="15.75" customHeight="1">
      <c r="A1541" s="24"/>
      <c r="B1541" s="10"/>
      <c r="C1541" s="10"/>
      <c r="D1541" s="10"/>
      <c r="E1541" s="10"/>
      <c r="F1541" s="10"/>
      <c r="G1541" s="10"/>
    </row>
    <row r="1542" ht="15.75" customHeight="1">
      <c r="A1542" s="24"/>
      <c r="B1542" s="10"/>
      <c r="C1542" s="10"/>
      <c r="D1542" s="10"/>
      <c r="E1542" s="10"/>
      <c r="F1542" s="10"/>
      <c r="G1542" s="10"/>
    </row>
    <row r="1543" ht="15.75" customHeight="1">
      <c r="A1543" s="24"/>
      <c r="B1543" s="10"/>
      <c r="C1543" s="10"/>
      <c r="D1543" s="10"/>
      <c r="E1543" s="10"/>
      <c r="F1543" s="10"/>
      <c r="G1543" s="10"/>
    </row>
    <row r="1544" ht="15.75" customHeight="1">
      <c r="A1544" s="24"/>
      <c r="B1544" s="10"/>
      <c r="C1544" s="10"/>
      <c r="D1544" s="10"/>
      <c r="E1544" s="10"/>
      <c r="F1544" s="10"/>
      <c r="G1544" s="10"/>
    </row>
    <row r="1545" ht="15.75" customHeight="1">
      <c r="A1545" s="24"/>
      <c r="B1545" s="10"/>
      <c r="C1545" s="10"/>
      <c r="D1545" s="10"/>
      <c r="E1545" s="10"/>
      <c r="F1545" s="10"/>
      <c r="G1545" s="10"/>
    </row>
    <row r="1546" ht="15.75" customHeight="1">
      <c r="A1546" s="24"/>
      <c r="B1546" s="10"/>
      <c r="C1546" s="10"/>
      <c r="D1546" s="10"/>
      <c r="E1546" s="10"/>
      <c r="F1546" s="10"/>
      <c r="G1546" s="10"/>
    </row>
    <row r="1547" ht="15.75" customHeight="1">
      <c r="A1547" s="24"/>
      <c r="B1547" s="10"/>
      <c r="C1547" s="10"/>
      <c r="D1547" s="10"/>
      <c r="E1547" s="10"/>
      <c r="F1547" s="10"/>
      <c r="G1547" s="10"/>
    </row>
    <row r="1548" ht="15.75" customHeight="1">
      <c r="A1548" s="24"/>
      <c r="B1548" s="10"/>
      <c r="C1548" s="10"/>
      <c r="D1548" s="10"/>
      <c r="E1548" s="10"/>
      <c r="F1548" s="10"/>
      <c r="G1548" s="10"/>
    </row>
    <row r="1549" ht="15.75" customHeight="1">
      <c r="A1549" s="24"/>
      <c r="B1549" s="10"/>
      <c r="C1549" s="10"/>
      <c r="D1549" s="10"/>
      <c r="E1549" s="10"/>
      <c r="F1549" s="10"/>
      <c r="G1549" s="10"/>
    </row>
    <row r="1550" ht="15.75" customHeight="1">
      <c r="A1550" s="24"/>
      <c r="B1550" s="10"/>
      <c r="C1550" s="10"/>
      <c r="D1550" s="10"/>
      <c r="E1550" s="10"/>
      <c r="F1550" s="10"/>
      <c r="G1550" s="10"/>
    </row>
    <row r="1551" ht="15.75" customHeight="1">
      <c r="A1551" s="24"/>
      <c r="B1551" s="10"/>
      <c r="C1551" s="10"/>
      <c r="D1551" s="10"/>
      <c r="E1551" s="10"/>
      <c r="F1551" s="10"/>
      <c r="G1551" s="10"/>
    </row>
    <row r="1552" ht="15.75" customHeight="1">
      <c r="A1552" s="24"/>
      <c r="B1552" s="10"/>
      <c r="C1552" s="10"/>
      <c r="D1552" s="10"/>
      <c r="E1552" s="10"/>
      <c r="F1552" s="10"/>
      <c r="G1552" s="10"/>
    </row>
    <row r="1553" ht="15.75" customHeight="1">
      <c r="A1553" s="24"/>
      <c r="B1553" s="10"/>
      <c r="C1553" s="10"/>
      <c r="D1553" s="10"/>
      <c r="E1553" s="10"/>
      <c r="F1553" s="10"/>
      <c r="G1553" s="10"/>
    </row>
    <row r="1554" ht="15.75" customHeight="1">
      <c r="A1554" s="24"/>
      <c r="B1554" s="10"/>
      <c r="C1554" s="10"/>
      <c r="D1554" s="10"/>
      <c r="E1554" s="10"/>
      <c r="F1554" s="10"/>
      <c r="G1554" s="10"/>
    </row>
    <row r="1555" ht="15.75" customHeight="1">
      <c r="A1555" s="24"/>
      <c r="B1555" s="10"/>
      <c r="C1555" s="10"/>
      <c r="D1555" s="10"/>
      <c r="E1555" s="10"/>
      <c r="F1555" s="10"/>
      <c r="G1555" s="10"/>
    </row>
    <row r="1556" ht="15.75" customHeight="1">
      <c r="A1556" s="24"/>
      <c r="B1556" s="10"/>
      <c r="C1556" s="10"/>
      <c r="D1556" s="10"/>
      <c r="E1556" s="10"/>
      <c r="F1556" s="10"/>
      <c r="G1556" s="10"/>
    </row>
    <row r="1557" ht="15.75" customHeight="1">
      <c r="A1557" s="24"/>
      <c r="B1557" s="10"/>
      <c r="C1557" s="10"/>
      <c r="D1557" s="10"/>
      <c r="E1557" s="10"/>
      <c r="F1557" s="10"/>
      <c r="G1557" s="10"/>
    </row>
    <row r="1558" ht="15.75" customHeight="1">
      <c r="A1558" s="24"/>
      <c r="B1558" s="10"/>
      <c r="C1558" s="10"/>
      <c r="D1558" s="10"/>
      <c r="E1558" s="10"/>
      <c r="F1558" s="10"/>
      <c r="G1558" s="10"/>
    </row>
    <row r="1559" ht="15.75" customHeight="1">
      <c r="A1559" s="24"/>
      <c r="B1559" s="10"/>
      <c r="C1559" s="10"/>
      <c r="D1559" s="10"/>
      <c r="E1559" s="10"/>
      <c r="F1559" s="10"/>
      <c r="G1559" s="10"/>
    </row>
    <row r="1560" ht="15.75" customHeight="1">
      <c r="A1560" s="24"/>
      <c r="B1560" s="10"/>
      <c r="C1560" s="10"/>
      <c r="D1560" s="10"/>
      <c r="E1560" s="10"/>
      <c r="F1560" s="10"/>
      <c r="G1560" s="10"/>
    </row>
    <row r="1561" ht="15.75" customHeight="1">
      <c r="A1561" s="24"/>
      <c r="B1561" s="10"/>
      <c r="C1561" s="10"/>
      <c r="D1561" s="10"/>
      <c r="E1561" s="10"/>
      <c r="F1561" s="10"/>
      <c r="G1561" s="10"/>
    </row>
    <row r="1562" ht="15.75" customHeight="1">
      <c r="A1562" s="24"/>
      <c r="B1562" s="10"/>
      <c r="C1562" s="10"/>
      <c r="D1562" s="10"/>
      <c r="E1562" s="10"/>
      <c r="F1562" s="10"/>
      <c r="G1562" s="10"/>
    </row>
    <row r="1563" ht="15.75" customHeight="1">
      <c r="A1563" s="24"/>
      <c r="B1563" s="10"/>
      <c r="C1563" s="10"/>
      <c r="D1563" s="10"/>
      <c r="E1563" s="10"/>
      <c r="F1563" s="10"/>
      <c r="G1563" s="10"/>
    </row>
    <row r="1564" ht="15.75" customHeight="1">
      <c r="A1564" s="24"/>
      <c r="B1564" s="10"/>
      <c r="C1564" s="10"/>
      <c r="D1564" s="10"/>
      <c r="E1564" s="10"/>
      <c r="F1564" s="10"/>
      <c r="G1564" s="10"/>
    </row>
    <row r="1565" ht="15.75" customHeight="1">
      <c r="A1565" s="24"/>
      <c r="B1565" s="10"/>
      <c r="C1565" s="10"/>
      <c r="D1565" s="10"/>
      <c r="E1565" s="10"/>
      <c r="F1565" s="10"/>
      <c r="G1565" s="10"/>
    </row>
    <row r="1566" ht="15.75" customHeight="1">
      <c r="A1566" s="24"/>
      <c r="B1566" s="10"/>
      <c r="C1566" s="10"/>
      <c r="D1566" s="10"/>
      <c r="E1566" s="10"/>
      <c r="F1566" s="10"/>
      <c r="G1566" s="10"/>
    </row>
    <row r="1567" ht="15.75" customHeight="1">
      <c r="A1567" s="24"/>
      <c r="B1567" s="10"/>
      <c r="C1567" s="10"/>
      <c r="D1567" s="10"/>
      <c r="E1567" s="10"/>
      <c r="F1567" s="10"/>
      <c r="G1567" s="10"/>
    </row>
    <row r="1568" ht="15.75" customHeight="1">
      <c r="A1568" s="24"/>
      <c r="B1568" s="10"/>
      <c r="C1568" s="10"/>
      <c r="D1568" s="10"/>
      <c r="E1568" s="10"/>
      <c r="F1568" s="10"/>
      <c r="G1568" s="10"/>
    </row>
    <row r="1569" ht="15.75" customHeight="1">
      <c r="A1569" s="24"/>
      <c r="B1569" s="10"/>
      <c r="C1569" s="10"/>
      <c r="D1569" s="10"/>
      <c r="E1569" s="10"/>
      <c r="F1569" s="10"/>
      <c r="G1569" s="10"/>
    </row>
    <row r="1570" ht="15.75" customHeight="1">
      <c r="A1570" s="24"/>
      <c r="B1570" s="10"/>
      <c r="C1570" s="10"/>
      <c r="D1570" s="10"/>
      <c r="E1570" s="10"/>
      <c r="F1570" s="10"/>
      <c r="G1570" s="10"/>
    </row>
    <row r="1571" ht="15.75" customHeight="1">
      <c r="A1571" s="24"/>
      <c r="B1571" s="10"/>
      <c r="C1571" s="10"/>
      <c r="D1571" s="10"/>
      <c r="E1571" s="10"/>
      <c r="F1571" s="10"/>
      <c r="G1571" s="10"/>
    </row>
    <row r="1572" ht="15.75" customHeight="1">
      <c r="A1572" s="24"/>
      <c r="B1572" s="10"/>
      <c r="C1572" s="10"/>
      <c r="D1572" s="10"/>
      <c r="E1572" s="10"/>
      <c r="F1572" s="10"/>
      <c r="G1572" s="10"/>
    </row>
    <row r="1573" ht="15.75" customHeight="1">
      <c r="A1573" s="24"/>
      <c r="B1573" s="10"/>
      <c r="C1573" s="10"/>
      <c r="D1573" s="10"/>
      <c r="E1573" s="10"/>
      <c r="F1573" s="10"/>
      <c r="G1573" s="10"/>
    </row>
    <row r="1574" ht="15.75" customHeight="1">
      <c r="A1574" s="24"/>
      <c r="B1574" s="10"/>
      <c r="C1574" s="10"/>
      <c r="D1574" s="10"/>
      <c r="E1574" s="10"/>
      <c r="F1574" s="10"/>
      <c r="G1574" s="10"/>
    </row>
    <row r="1575" ht="15.75" customHeight="1">
      <c r="A1575" s="24"/>
      <c r="B1575" s="10"/>
      <c r="C1575" s="10"/>
      <c r="D1575" s="10"/>
      <c r="E1575" s="10"/>
      <c r="F1575" s="10"/>
      <c r="G1575" s="10"/>
    </row>
    <row r="1576" ht="15.75" customHeight="1">
      <c r="A1576" s="24"/>
      <c r="B1576" s="10"/>
      <c r="C1576" s="10"/>
      <c r="D1576" s="10"/>
      <c r="E1576" s="10"/>
      <c r="F1576" s="10"/>
      <c r="G1576" s="10"/>
    </row>
    <row r="1577" ht="15.75" customHeight="1">
      <c r="A1577" s="24"/>
      <c r="B1577" s="10"/>
      <c r="C1577" s="10"/>
      <c r="D1577" s="10"/>
      <c r="E1577" s="10"/>
      <c r="F1577" s="10"/>
      <c r="G1577" s="10"/>
    </row>
    <row r="1578" ht="15.75" customHeight="1">
      <c r="A1578" s="24"/>
      <c r="B1578" s="10"/>
      <c r="C1578" s="10"/>
      <c r="D1578" s="10"/>
      <c r="E1578" s="10"/>
      <c r="F1578" s="10"/>
      <c r="G1578" s="10"/>
    </row>
    <row r="1579" ht="15.75" customHeight="1">
      <c r="A1579" s="24"/>
      <c r="B1579" s="10"/>
      <c r="C1579" s="10"/>
      <c r="D1579" s="10"/>
      <c r="E1579" s="10"/>
      <c r="F1579" s="10"/>
      <c r="G1579" s="10"/>
    </row>
    <row r="1580" ht="15.75" customHeight="1">
      <c r="A1580" s="24"/>
      <c r="B1580" s="10"/>
      <c r="C1580" s="10"/>
      <c r="D1580" s="10"/>
      <c r="E1580" s="10"/>
      <c r="F1580" s="10"/>
      <c r="G1580" s="10"/>
    </row>
    <row r="1581" ht="15.75" customHeight="1">
      <c r="A1581" s="24"/>
      <c r="B1581" s="10"/>
      <c r="C1581" s="10"/>
      <c r="D1581" s="10"/>
      <c r="E1581" s="10"/>
      <c r="F1581" s="10"/>
      <c r="G1581" s="10"/>
    </row>
    <row r="1582" ht="15.75" customHeight="1">
      <c r="A1582" s="24"/>
      <c r="B1582" s="10"/>
      <c r="C1582" s="10"/>
      <c r="D1582" s="10"/>
      <c r="E1582" s="10"/>
      <c r="F1582" s="10"/>
      <c r="G1582" s="10"/>
    </row>
    <row r="1583" ht="15.75" customHeight="1">
      <c r="A1583" s="24"/>
      <c r="B1583" s="10"/>
      <c r="C1583" s="10"/>
      <c r="D1583" s="10"/>
      <c r="E1583" s="10"/>
      <c r="F1583" s="10"/>
      <c r="G1583" s="10"/>
    </row>
    <row r="1584" ht="15.75" customHeight="1">
      <c r="A1584" s="24"/>
      <c r="B1584" s="10"/>
      <c r="C1584" s="10"/>
      <c r="D1584" s="10"/>
      <c r="E1584" s="10"/>
      <c r="F1584" s="10"/>
      <c r="G1584" s="10"/>
    </row>
    <row r="1585" ht="15.75" customHeight="1">
      <c r="A1585" s="24"/>
      <c r="B1585" s="10"/>
      <c r="C1585" s="10"/>
      <c r="D1585" s="10"/>
      <c r="E1585" s="10"/>
      <c r="F1585" s="10"/>
      <c r="G1585" s="10"/>
    </row>
    <row r="1586" ht="15.75" customHeight="1">
      <c r="A1586" s="24"/>
      <c r="B1586" s="10"/>
      <c r="C1586" s="10"/>
      <c r="D1586" s="10"/>
      <c r="E1586" s="10"/>
      <c r="F1586" s="10"/>
      <c r="G1586" s="10"/>
    </row>
    <row r="1587" ht="15.75" customHeight="1">
      <c r="A1587" s="24"/>
      <c r="B1587" s="10"/>
      <c r="C1587" s="10"/>
      <c r="D1587" s="10"/>
      <c r="E1587" s="10"/>
      <c r="F1587" s="10"/>
      <c r="G1587" s="10"/>
    </row>
    <row r="1588" ht="15.75" customHeight="1">
      <c r="A1588" s="24"/>
      <c r="B1588" s="10"/>
      <c r="C1588" s="10"/>
      <c r="D1588" s="10"/>
      <c r="E1588" s="10"/>
      <c r="F1588" s="10"/>
      <c r="G1588" s="10"/>
    </row>
    <row r="1589" ht="15.75" customHeight="1">
      <c r="A1589" s="24"/>
      <c r="B1589" s="10"/>
      <c r="C1589" s="10"/>
      <c r="D1589" s="10"/>
      <c r="E1589" s="10"/>
      <c r="F1589" s="10"/>
      <c r="G1589" s="10"/>
    </row>
    <row r="1590" ht="15.75" customHeight="1">
      <c r="A1590" s="24"/>
      <c r="B1590" s="10"/>
      <c r="C1590" s="10"/>
      <c r="D1590" s="10"/>
      <c r="E1590" s="10"/>
      <c r="F1590" s="10"/>
      <c r="G1590" s="10"/>
    </row>
    <row r="1591" ht="15.75" customHeight="1">
      <c r="A1591" s="24"/>
      <c r="B1591" s="10"/>
      <c r="C1591" s="10"/>
      <c r="D1591" s="10"/>
      <c r="E1591" s="10"/>
      <c r="F1591" s="10"/>
      <c r="G1591" s="10"/>
    </row>
    <row r="1592" ht="15.75" customHeight="1">
      <c r="A1592" s="24"/>
      <c r="B1592" s="10"/>
      <c r="C1592" s="10"/>
      <c r="D1592" s="10"/>
      <c r="E1592" s="10"/>
      <c r="F1592" s="10"/>
      <c r="G1592" s="10"/>
    </row>
    <row r="1593" ht="15.75" customHeight="1">
      <c r="A1593" s="24"/>
      <c r="B1593" s="10"/>
      <c r="C1593" s="10"/>
      <c r="D1593" s="10"/>
      <c r="E1593" s="10"/>
      <c r="F1593" s="10"/>
      <c r="G1593" s="10"/>
    </row>
    <row r="1594" ht="15.75" customHeight="1">
      <c r="A1594" s="24"/>
      <c r="B1594" s="10"/>
      <c r="C1594" s="10"/>
      <c r="D1594" s="10"/>
      <c r="E1594" s="10"/>
      <c r="F1594" s="10"/>
      <c r="G1594" s="10"/>
    </row>
    <row r="1595" ht="15.75" customHeight="1">
      <c r="A1595" s="24"/>
      <c r="B1595" s="10"/>
      <c r="C1595" s="10"/>
      <c r="D1595" s="10"/>
      <c r="E1595" s="10"/>
      <c r="F1595" s="10"/>
      <c r="G1595" s="10"/>
    </row>
    <row r="1596" ht="15.75" customHeight="1">
      <c r="A1596" s="24"/>
      <c r="B1596" s="10"/>
      <c r="C1596" s="10"/>
      <c r="D1596" s="10"/>
      <c r="E1596" s="10"/>
      <c r="F1596" s="10"/>
      <c r="G1596" s="10"/>
    </row>
    <row r="1597" ht="15.75" customHeight="1">
      <c r="A1597" s="24"/>
      <c r="B1597" s="10"/>
      <c r="C1597" s="10"/>
      <c r="D1597" s="10"/>
      <c r="E1597" s="10"/>
      <c r="F1597" s="10"/>
      <c r="G1597" s="10"/>
    </row>
    <row r="1598" ht="15.75" customHeight="1">
      <c r="A1598" s="24"/>
      <c r="B1598" s="10"/>
      <c r="C1598" s="10"/>
      <c r="D1598" s="10"/>
      <c r="E1598" s="10"/>
      <c r="F1598" s="10"/>
      <c r="G1598" s="10"/>
    </row>
    <row r="1599" ht="15.75" customHeight="1">
      <c r="A1599" s="24"/>
      <c r="B1599" s="10"/>
      <c r="C1599" s="10"/>
      <c r="D1599" s="10"/>
      <c r="E1599" s="10"/>
      <c r="F1599" s="10"/>
      <c r="G1599" s="10"/>
    </row>
    <row r="1600" ht="15.75" customHeight="1">
      <c r="A1600" s="24"/>
      <c r="B1600" s="10"/>
      <c r="C1600" s="10"/>
      <c r="D1600" s="10"/>
      <c r="E1600" s="10"/>
      <c r="F1600" s="10"/>
      <c r="G1600" s="10"/>
    </row>
    <row r="1601" ht="15.75" customHeight="1">
      <c r="A1601" s="24"/>
      <c r="B1601" s="10"/>
      <c r="C1601" s="10"/>
      <c r="D1601" s="10"/>
      <c r="E1601" s="10"/>
      <c r="F1601" s="10"/>
      <c r="G1601" s="10"/>
    </row>
    <row r="1602" ht="15.75" customHeight="1">
      <c r="A1602" s="24"/>
      <c r="B1602" s="10"/>
      <c r="C1602" s="10"/>
      <c r="D1602" s="10"/>
      <c r="E1602" s="10"/>
      <c r="F1602" s="10"/>
      <c r="G1602" s="10"/>
    </row>
    <row r="1603" ht="15.75" customHeight="1">
      <c r="A1603" s="24"/>
      <c r="B1603" s="10"/>
      <c r="C1603" s="10"/>
      <c r="D1603" s="10"/>
      <c r="E1603" s="10"/>
      <c r="F1603" s="10"/>
      <c r="G1603" s="10"/>
    </row>
    <row r="1604" ht="15.75" customHeight="1">
      <c r="A1604" s="24"/>
      <c r="B1604" s="10"/>
      <c r="C1604" s="10"/>
      <c r="D1604" s="10"/>
      <c r="E1604" s="10"/>
      <c r="F1604" s="10"/>
      <c r="G1604" s="10"/>
    </row>
    <row r="1605" ht="15.75" customHeight="1">
      <c r="A1605" s="24"/>
      <c r="B1605" s="10"/>
      <c r="C1605" s="10"/>
      <c r="D1605" s="10"/>
      <c r="E1605" s="10"/>
      <c r="F1605" s="10"/>
      <c r="G1605" s="10"/>
    </row>
    <row r="1606" ht="15.75" customHeight="1">
      <c r="A1606" s="24"/>
      <c r="B1606" s="10"/>
      <c r="C1606" s="10"/>
      <c r="D1606" s="10"/>
      <c r="E1606" s="10"/>
      <c r="F1606" s="10"/>
      <c r="G1606" s="10"/>
    </row>
    <row r="1607" ht="15.75" customHeight="1">
      <c r="A1607" s="24"/>
      <c r="B1607" s="10"/>
      <c r="C1607" s="10"/>
      <c r="D1607" s="10"/>
      <c r="E1607" s="10"/>
      <c r="F1607" s="10"/>
      <c r="G1607" s="10"/>
    </row>
    <row r="1608" ht="15.75" customHeight="1">
      <c r="A1608" s="24"/>
      <c r="B1608" s="10"/>
      <c r="C1608" s="10"/>
      <c r="D1608" s="10"/>
      <c r="E1608" s="10"/>
      <c r="F1608" s="10"/>
      <c r="G1608" s="10"/>
    </row>
    <row r="1609" ht="15.75" customHeight="1">
      <c r="A1609" s="24"/>
      <c r="B1609" s="10"/>
      <c r="C1609" s="10"/>
      <c r="D1609" s="10"/>
      <c r="E1609" s="10"/>
      <c r="F1609" s="10"/>
      <c r="G1609" s="10"/>
    </row>
    <row r="1610" ht="15.75" customHeight="1">
      <c r="A1610" s="24"/>
      <c r="B1610" s="10"/>
      <c r="C1610" s="10"/>
      <c r="D1610" s="10"/>
      <c r="E1610" s="10"/>
      <c r="F1610" s="10"/>
      <c r="G1610" s="10"/>
    </row>
    <row r="1611" ht="15.75" customHeight="1">
      <c r="A1611" s="24"/>
      <c r="B1611" s="10"/>
      <c r="C1611" s="10"/>
      <c r="D1611" s="10"/>
      <c r="E1611" s="10"/>
      <c r="F1611" s="10"/>
      <c r="G1611" s="10"/>
    </row>
    <row r="1612" ht="15.75" customHeight="1">
      <c r="A1612" s="24"/>
      <c r="B1612" s="10"/>
      <c r="C1612" s="10"/>
      <c r="D1612" s="10"/>
      <c r="E1612" s="10"/>
      <c r="F1612" s="10"/>
      <c r="G1612" s="10"/>
    </row>
    <row r="1613" ht="15.75" customHeight="1">
      <c r="A1613" s="24"/>
      <c r="B1613" s="10"/>
      <c r="C1613" s="10"/>
      <c r="D1613" s="10"/>
      <c r="E1613" s="10"/>
      <c r="F1613" s="10"/>
      <c r="G1613" s="10"/>
    </row>
    <row r="1614" ht="15.75" customHeight="1">
      <c r="A1614" s="24"/>
      <c r="B1614" s="10"/>
      <c r="C1614" s="10"/>
      <c r="D1614" s="10"/>
      <c r="E1614" s="10"/>
      <c r="F1614" s="10"/>
      <c r="G1614" s="10"/>
    </row>
    <row r="1615" ht="15.75" customHeight="1">
      <c r="A1615" s="24"/>
      <c r="B1615" s="10"/>
      <c r="C1615" s="10"/>
      <c r="D1615" s="10"/>
      <c r="E1615" s="10"/>
      <c r="F1615" s="10"/>
      <c r="G1615" s="10"/>
    </row>
    <row r="1616" ht="15.75" customHeight="1">
      <c r="A1616" s="24"/>
      <c r="B1616" s="10"/>
      <c r="C1616" s="10"/>
      <c r="D1616" s="10"/>
      <c r="E1616" s="10"/>
      <c r="F1616" s="10"/>
      <c r="G1616" s="10"/>
    </row>
    <row r="1617" ht="15.75" customHeight="1">
      <c r="A1617" s="24"/>
      <c r="B1617" s="10"/>
      <c r="C1617" s="10"/>
      <c r="D1617" s="10"/>
      <c r="E1617" s="10"/>
      <c r="F1617" s="10"/>
      <c r="G1617" s="10"/>
    </row>
    <row r="1618" ht="15.75" customHeight="1">
      <c r="A1618" s="24"/>
      <c r="B1618" s="10"/>
      <c r="C1618" s="10"/>
      <c r="D1618" s="10"/>
      <c r="E1618" s="10"/>
      <c r="F1618" s="10"/>
      <c r="G1618" s="10"/>
    </row>
    <row r="1619" ht="15.75" customHeight="1">
      <c r="A1619" s="24"/>
      <c r="B1619" s="10"/>
      <c r="C1619" s="10"/>
      <c r="D1619" s="10"/>
      <c r="E1619" s="10"/>
      <c r="F1619" s="10"/>
      <c r="G1619" s="10"/>
    </row>
    <row r="1620" ht="15.75" customHeight="1">
      <c r="A1620" s="24"/>
      <c r="B1620" s="10"/>
      <c r="C1620" s="10"/>
      <c r="D1620" s="10"/>
      <c r="E1620" s="10"/>
      <c r="F1620" s="10"/>
      <c r="G1620" s="10"/>
    </row>
    <row r="1621" ht="15.75" customHeight="1">
      <c r="A1621" s="24"/>
      <c r="B1621" s="10"/>
      <c r="C1621" s="10"/>
      <c r="D1621" s="10"/>
      <c r="E1621" s="10"/>
      <c r="F1621" s="10"/>
      <c r="G1621" s="10"/>
    </row>
    <row r="1622" ht="15.75" customHeight="1">
      <c r="A1622" s="24"/>
      <c r="B1622" s="10"/>
      <c r="C1622" s="10"/>
      <c r="D1622" s="10"/>
      <c r="E1622" s="10"/>
      <c r="F1622" s="10"/>
      <c r="G1622" s="10"/>
    </row>
    <row r="1623" ht="15.75" customHeight="1">
      <c r="A1623" s="24"/>
      <c r="B1623" s="10"/>
      <c r="C1623" s="10"/>
      <c r="D1623" s="10"/>
      <c r="E1623" s="10"/>
      <c r="F1623" s="10"/>
      <c r="G1623" s="10"/>
    </row>
    <row r="1624" ht="15.75" customHeight="1">
      <c r="A1624" s="24"/>
      <c r="B1624" s="10"/>
      <c r="C1624" s="10"/>
      <c r="D1624" s="10"/>
      <c r="E1624" s="10"/>
      <c r="F1624" s="10"/>
      <c r="G1624" s="10"/>
    </row>
    <row r="1625" ht="15.75" customHeight="1">
      <c r="A1625" s="24"/>
      <c r="B1625" s="10"/>
      <c r="C1625" s="10"/>
      <c r="D1625" s="10"/>
      <c r="E1625" s="10"/>
      <c r="F1625" s="10"/>
      <c r="G1625" s="10"/>
    </row>
    <row r="1626" ht="15.75" customHeight="1">
      <c r="A1626" s="24"/>
      <c r="B1626" s="10"/>
      <c r="C1626" s="10"/>
      <c r="D1626" s="10"/>
      <c r="E1626" s="10"/>
      <c r="F1626" s="10"/>
      <c r="G1626" s="10"/>
    </row>
    <row r="1627" ht="15.75" customHeight="1">
      <c r="A1627" s="24"/>
      <c r="B1627" s="10"/>
      <c r="C1627" s="10"/>
      <c r="D1627" s="10"/>
      <c r="E1627" s="10"/>
      <c r="F1627" s="10"/>
      <c r="G1627" s="10"/>
    </row>
    <row r="1628" ht="15.75" customHeight="1">
      <c r="A1628" s="24"/>
      <c r="B1628" s="10"/>
      <c r="C1628" s="10"/>
      <c r="D1628" s="10"/>
      <c r="E1628" s="10"/>
      <c r="F1628" s="10"/>
      <c r="G1628" s="10"/>
    </row>
    <row r="1629" ht="15.75" customHeight="1">
      <c r="A1629" s="24"/>
      <c r="B1629" s="10"/>
      <c r="C1629" s="10"/>
      <c r="D1629" s="10"/>
      <c r="E1629" s="10"/>
      <c r="F1629" s="10"/>
      <c r="G1629" s="10"/>
    </row>
    <row r="1630" ht="15.75" customHeight="1">
      <c r="A1630" s="24"/>
      <c r="B1630" s="10"/>
      <c r="C1630" s="10"/>
      <c r="D1630" s="10"/>
      <c r="E1630" s="10"/>
      <c r="F1630" s="10"/>
      <c r="G1630" s="10"/>
    </row>
    <row r="1631" ht="15.75" customHeight="1">
      <c r="A1631" s="24"/>
      <c r="B1631" s="10"/>
      <c r="C1631" s="10"/>
      <c r="D1631" s="10"/>
      <c r="E1631" s="10"/>
      <c r="F1631" s="10"/>
      <c r="G1631" s="10"/>
    </row>
    <row r="1632" ht="15.75" customHeight="1">
      <c r="A1632" s="24"/>
      <c r="B1632" s="10"/>
      <c r="C1632" s="10"/>
      <c r="D1632" s="10"/>
      <c r="E1632" s="10"/>
      <c r="F1632" s="10"/>
      <c r="G1632" s="10"/>
    </row>
    <row r="1633" ht="15.75" customHeight="1">
      <c r="A1633" s="24"/>
      <c r="B1633" s="10"/>
      <c r="C1633" s="10"/>
      <c r="D1633" s="10"/>
      <c r="E1633" s="10"/>
      <c r="F1633" s="10"/>
      <c r="G1633" s="10"/>
    </row>
    <row r="1634" ht="15.75" customHeight="1">
      <c r="A1634" s="24"/>
      <c r="B1634" s="10"/>
      <c r="C1634" s="10"/>
      <c r="D1634" s="10"/>
      <c r="E1634" s="10"/>
      <c r="F1634" s="10"/>
      <c r="G1634" s="10"/>
    </row>
    <row r="1635" ht="15.75" customHeight="1">
      <c r="A1635" s="24"/>
      <c r="B1635" s="10"/>
      <c r="C1635" s="10"/>
      <c r="D1635" s="10"/>
      <c r="E1635" s="10"/>
      <c r="F1635" s="10"/>
      <c r="G1635" s="10"/>
    </row>
    <row r="1636" ht="15.75" customHeight="1">
      <c r="A1636" s="24"/>
      <c r="B1636" s="10"/>
      <c r="C1636" s="10"/>
      <c r="D1636" s="10"/>
      <c r="E1636" s="10"/>
      <c r="F1636" s="10"/>
      <c r="G1636" s="10"/>
    </row>
    <row r="1637" ht="15.75" customHeight="1">
      <c r="A1637" s="24"/>
      <c r="B1637" s="10"/>
      <c r="C1637" s="10"/>
      <c r="D1637" s="10"/>
      <c r="E1637" s="10"/>
      <c r="F1637" s="10"/>
      <c r="G1637" s="10"/>
    </row>
    <row r="1638" ht="15.75" customHeight="1">
      <c r="A1638" s="24"/>
      <c r="B1638" s="10"/>
      <c r="C1638" s="10"/>
      <c r="D1638" s="10"/>
      <c r="E1638" s="10"/>
      <c r="F1638" s="10"/>
      <c r="G1638" s="10"/>
    </row>
    <row r="1639" ht="15.75" customHeight="1">
      <c r="A1639" s="24"/>
      <c r="B1639" s="10"/>
      <c r="C1639" s="10"/>
      <c r="D1639" s="10"/>
      <c r="E1639" s="10"/>
      <c r="F1639" s="10"/>
      <c r="G1639" s="10"/>
    </row>
    <row r="1640" ht="15.75" customHeight="1">
      <c r="A1640" s="24"/>
      <c r="B1640" s="10"/>
      <c r="C1640" s="10"/>
      <c r="D1640" s="10"/>
      <c r="E1640" s="10"/>
      <c r="F1640" s="10"/>
      <c r="G1640" s="10"/>
    </row>
    <row r="1641" ht="15.75" customHeight="1">
      <c r="A1641" s="24"/>
      <c r="B1641" s="10"/>
      <c r="C1641" s="10"/>
      <c r="D1641" s="10"/>
      <c r="E1641" s="10"/>
      <c r="F1641" s="10"/>
      <c r="G1641" s="10"/>
    </row>
    <row r="1642" ht="15.75" customHeight="1">
      <c r="A1642" s="24"/>
      <c r="B1642" s="10"/>
      <c r="C1642" s="10"/>
      <c r="D1642" s="10"/>
      <c r="E1642" s="10"/>
      <c r="F1642" s="10"/>
      <c r="G1642" s="10"/>
    </row>
    <row r="1643" ht="15.75" customHeight="1">
      <c r="A1643" s="24"/>
      <c r="B1643" s="10"/>
      <c r="C1643" s="10"/>
      <c r="D1643" s="10"/>
      <c r="E1643" s="10"/>
      <c r="F1643" s="10"/>
      <c r="G1643" s="10"/>
    </row>
    <row r="1644" ht="15.75" customHeight="1">
      <c r="A1644" s="24"/>
      <c r="B1644" s="10"/>
      <c r="C1644" s="10"/>
      <c r="D1644" s="10"/>
      <c r="E1644" s="10"/>
      <c r="F1644" s="10"/>
      <c r="G1644" s="10"/>
    </row>
    <row r="1645" ht="15.75" customHeight="1">
      <c r="A1645" s="24"/>
      <c r="B1645" s="10"/>
      <c r="C1645" s="10"/>
      <c r="D1645" s="10"/>
      <c r="E1645" s="10"/>
      <c r="F1645" s="10"/>
      <c r="G1645" s="10"/>
    </row>
    <row r="1646" ht="15.75" customHeight="1">
      <c r="A1646" s="24"/>
      <c r="B1646" s="10"/>
      <c r="C1646" s="10"/>
      <c r="D1646" s="10"/>
      <c r="E1646" s="10"/>
      <c r="F1646" s="10"/>
      <c r="G1646" s="10"/>
    </row>
    <row r="1647" ht="15.75" customHeight="1">
      <c r="A1647" s="24"/>
      <c r="B1647" s="10"/>
      <c r="C1647" s="10"/>
      <c r="D1647" s="10"/>
      <c r="E1647" s="10"/>
      <c r="F1647" s="10"/>
      <c r="G1647" s="10"/>
    </row>
    <row r="1648" ht="15.75" customHeight="1">
      <c r="A1648" s="24"/>
      <c r="B1648" s="10"/>
      <c r="C1648" s="10"/>
      <c r="D1648" s="10"/>
      <c r="E1648" s="10"/>
      <c r="F1648" s="10"/>
      <c r="G1648" s="10"/>
    </row>
    <row r="1649" ht="15.75" customHeight="1">
      <c r="A1649" s="24"/>
      <c r="B1649" s="10"/>
      <c r="C1649" s="10"/>
      <c r="D1649" s="10"/>
      <c r="E1649" s="10"/>
      <c r="F1649" s="10"/>
      <c r="G1649" s="10"/>
    </row>
    <row r="1650" ht="15.75" customHeight="1">
      <c r="A1650" s="24"/>
      <c r="B1650" s="10"/>
      <c r="C1650" s="10"/>
      <c r="D1650" s="10"/>
      <c r="E1650" s="10"/>
      <c r="F1650" s="10"/>
      <c r="G1650" s="10"/>
    </row>
    <row r="1651" ht="15.75" customHeight="1">
      <c r="A1651" s="24"/>
      <c r="B1651" s="10"/>
      <c r="C1651" s="10"/>
      <c r="D1651" s="10"/>
      <c r="E1651" s="10"/>
      <c r="F1651" s="10"/>
      <c r="G1651" s="10"/>
    </row>
    <row r="1652" ht="15.75" customHeight="1">
      <c r="A1652" s="24"/>
      <c r="B1652" s="10"/>
      <c r="C1652" s="10"/>
      <c r="D1652" s="10"/>
      <c r="E1652" s="10"/>
      <c r="F1652" s="10"/>
      <c r="G1652" s="10"/>
    </row>
    <row r="1653" ht="15.75" customHeight="1">
      <c r="A1653" s="24"/>
      <c r="B1653" s="10"/>
      <c r="C1653" s="10"/>
      <c r="D1653" s="10"/>
      <c r="E1653" s="10"/>
      <c r="F1653" s="10"/>
      <c r="G1653" s="10"/>
    </row>
    <row r="1654" ht="15.75" customHeight="1">
      <c r="A1654" s="24"/>
      <c r="B1654" s="10"/>
      <c r="C1654" s="10"/>
      <c r="D1654" s="10"/>
      <c r="E1654" s="10"/>
      <c r="F1654" s="10"/>
      <c r="G1654" s="10"/>
    </row>
    <row r="1655" ht="15.75" customHeight="1">
      <c r="A1655" s="24"/>
      <c r="B1655" s="10"/>
      <c r="C1655" s="10"/>
      <c r="D1655" s="10"/>
      <c r="E1655" s="10"/>
      <c r="F1655" s="10"/>
      <c r="G1655" s="10"/>
    </row>
    <row r="1656" ht="15.75" customHeight="1">
      <c r="A1656" s="24"/>
      <c r="B1656" s="10"/>
      <c r="C1656" s="10"/>
      <c r="D1656" s="10"/>
      <c r="E1656" s="10"/>
      <c r="F1656" s="10"/>
      <c r="G1656" s="10"/>
    </row>
    <row r="1657" ht="15.75" customHeight="1">
      <c r="A1657" s="24"/>
      <c r="B1657" s="10"/>
      <c r="C1657" s="10"/>
      <c r="D1657" s="10"/>
      <c r="E1657" s="10"/>
      <c r="F1657" s="10"/>
      <c r="G1657" s="10"/>
    </row>
    <row r="1658" ht="15.75" customHeight="1">
      <c r="A1658" s="24"/>
      <c r="B1658" s="10"/>
      <c r="C1658" s="10"/>
      <c r="D1658" s="10"/>
      <c r="E1658" s="10"/>
      <c r="F1658" s="10"/>
      <c r="G1658" s="10"/>
    </row>
    <row r="1659" ht="15.75" customHeight="1">
      <c r="A1659" s="24"/>
      <c r="B1659" s="10"/>
      <c r="C1659" s="10"/>
      <c r="D1659" s="10"/>
      <c r="E1659" s="10"/>
      <c r="F1659" s="10"/>
      <c r="G1659" s="10"/>
    </row>
    <row r="1660" ht="15.75" customHeight="1">
      <c r="A1660" s="24"/>
      <c r="B1660" s="10"/>
      <c r="C1660" s="10"/>
      <c r="D1660" s="10"/>
      <c r="E1660" s="10"/>
      <c r="F1660" s="10"/>
      <c r="G1660" s="10"/>
    </row>
    <row r="1661" ht="15.75" customHeight="1">
      <c r="A1661" s="24"/>
      <c r="B1661" s="10"/>
      <c r="C1661" s="10"/>
      <c r="D1661" s="10"/>
      <c r="E1661" s="10"/>
      <c r="F1661" s="10"/>
      <c r="G1661" s="10"/>
    </row>
    <row r="1662" ht="15.75" customHeight="1">
      <c r="A1662" s="24"/>
      <c r="B1662" s="10"/>
      <c r="C1662" s="10"/>
      <c r="D1662" s="10"/>
      <c r="E1662" s="10"/>
      <c r="F1662" s="10"/>
      <c r="G1662" s="10"/>
    </row>
    <row r="1663" ht="15.75" customHeight="1">
      <c r="A1663" s="24"/>
      <c r="B1663" s="10"/>
      <c r="C1663" s="10"/>
      <c r="D1663" s="10"/>
      <c r="E1663" s="10"/>
      <c r="F1663" s="10"/>
      <c r="G1663" s="10"/>
    </row>
    <row r="1664" ht="15.75" customHeight="1">
      <c r="A1664" s="24"/>
      <c r="B1664" s="10"/>
      <c r="C1664" s="10"/>
      <c r="D1664" s="10"/>
      <c r="E1664" s="10"/>
      <c r="F1664" s="10"/>
      <c r="G1664" s="10"/>
    </row>
    <row r="1665" ht="15.75" customHeight="1">
      <c r="A1665" s="24"/>
      <c r="B1665" s="10"/>
      <c r="C1665" s="10"/>
      <c r="D1665" s="10"/>
      <c r="E1665" s="10"/>
      <c r="F1665" s="10"/>
      <c r="G1665" s="10"/>
    </row>
    <row r="1666" ht="15.75" customHeight="1">
      <c r="A1666" s="24"/>
      <c r="B1666" s="10"/>
      <c r="C1666" s="10"/>
      <c r="D1666" s="10"/>
      <c r="E1666" s="10"/>
      <c r="F1666" s="10"/>
      <c r="G1666" s="10"/>
    </row>
    <row r="1667" ht="15.75" customHeight="1">
      <c r="A1667" s="24"/>
      <c r="B1667" s="10"/>
      <c r="C1667" s="10"/>
      <c r="D1667" s="10"/>
      <c r="E1667" s="10"/>
      <c r="F1667" s="10"/>
      <c r="G1667" s="10"/>
    </row>
    <row r="1668" ht="15.75" customHeight="1">
      <c r="A1668" s="24"/>
      <c r="B1668" s="10"/>
      <c r="C1668" s="10"/>
      <c r="D1668" s="10"/>
      <c r="E1668" s="10"/>
      <c r="F1668" s="10"/>
      <c r="G1668" s="10"/>
    </row>
    <row r="1669" ht="15.75" customHeight="1">
      <c r="A1669" s="24"/>
      <c r="B1669" s="10"/>
      <c r="C1669" s="10"/>
      <c r="D1669" s="10"/>
      <c r="E1669" s="10"/>
      <c r="F1669" s="10"/>
      <c r="G1669" s="10"/>
    </row>
    <row r="1670" ht="15.75" customHeight="1">
      <c r="A1670" s="24"/>
      <c r="B1670" s="10"/>
      <c r="C1670" s="10"/>
      <c r="D1670" s="10"/>
      <c r="E1670" s="10"/>
      <c r="F1670" s="10"/>
      <c r="G1670" s="10"/>
    </row>
    <row r="1671" ht="15.75" customHeight="1">
      <c r="A1671" s="24"/>
      <c r="B1671" s="10"/>
      <c r="C1671" s="10"/>
      <c r="D1671" s="10"/>
      <c r="E1671" s="10"/>
      <c r="F1671" s="10"/>
      <c r="G1671" s="10"/>
    </row>
    <row r="1672" ht="15.75" customHeight="1">
      <c r="A1672" s="24"/>
      <c r="B1672" s="10"/>
      <c r="C1672" s="10"/>
      <c r="D1672" s="10"/>
      <c r="E1672" s="10"/>
      <c r="F1672" s="10"/>
      <c r="G1672" s="10"/>
    </row>
    <row r="1673" ht="15.75" customHeight="1">
      <c r="A1673" s="24"/>
      <c r="B1673" s="10"/>
      <c r="C1673" s="10"/>
      <c r="D1673" s="10"/>
      <c r="E1673" s="10"/>
      <c r="F1673" s="10"/>
      <c r="G1673" s="10"/>
    </row>
    <row r="1674" ht="15.75" customHeight="1">
      <c r="A1674" s="24"/>
      <c r="B1674" s="10"/>
      <c r="C1674" s="10"/>
      <c r="D1674" s="10"/>
      <c r="E1674" s="10"/>
      <c r="F1674" s="10"/>
      <c r="G1674" s="10"/>
    </row>
    <row r="1675" ht="15.75" customHeight="1">
      <c r="A1675" s="24"/>
      <c r="B1675" s="10"/>
      <c r="C1675" s="10"/>
      <c r="D1675" s="10"/>
      <c r="E1675" s="10"/>
      <c r="F1675" s="10"/>
      <c r="G1675" s="10"/>
    </row>
    <row r="1676" ht="15.75" customHeight="1">
      <c r="A1676" s="24"/>
      <c r="B1676" s="10"/>
      <c r="C1676" s="10"/>
      <c r="D1676" s="10"/>
      <c r="E1676" s="10"/>
      <c r="F1676" s="10"/>
      <c r="G1676" s="10"/>
    </row>
    <row r="1677" ht="15.75" customHeight="1">
      <c r="A1677" s="24"/>
      <c r="B1677" s="10"/>
      <c r="C1677" s="10"/>
      <c r="D1677" s="10"/>
      <c r="E1677" s="10"/>
      <c r="F1677" s="10"/>
      <c r="G1677" s="10"/>
    </row>
    <row r="1678" ht="15.75" customHeight="1">
      <c r="A1678" s="24"/>
      <c r="B1678" s="10"/>
      <c r="C1678" s="10"/>
      <c r="D1678" s="10"/>
      <c r="E1678" s="10"/>
      <c r="F1678" s="10"/>
      <c r="G1678" s="10"/>
    </row>
    <row r="1679" ht="15.75" customHeight="1">
      <c r="A1679" s="24"/>
      <c r="B1679" s="10"/>
      <c r="C1679" s="10"/>
      <c r="D1679" s="10"/>
      <c r="E1679" s="10"/>
      <c r="F1679" s="10"/>
      <c r="G1679" s="10"/>
    </row>
    <row r="1680" ht="15.75" customHeight="1">
      <c r="A1680" s="24"/>
      <c r="B1680" s="10"/>
      <c r="C1680" s="10"/>
      <c r="D1680" s="10"/>
      <c r="E1680" s="10"/>
      <c r="F1680" s="10"/>
      <c r="G1680" s="10"/>
    </row>
    <row r="1681" ht="15.75" customHeight="1">
      <c r="A1681" s="24"/>
      <c r="B1681" s="10"/>
      <c r="C1681" s="10"/>
      <c r="D1681" s="10"/>
      <c r="E1681" s="10"/>
      <c r="F1681" s="10"/>
      <c r="G1681" s="10"/>
    </row>
    <row r="1682" ht="15.75" customHeight="1">
      <c r="A1682" s="24"/>
      <c r="B1682" s="10"/>
      <c r="C1682" s="10"/>
      <c r="D1682" s="10"/>
      <c r="E1682" s="10"/>
      <c r="F1682" s="10"/>
      <c r="G1682" s="10"/>
    </row>
    <row r="1683" ht="15.75" customHeight="1">
      <c r="A1683" s="24"/>
      <c r="B1683" s="10"/>
      <c r="C1683" s="10"/>
      <c r="D1683" s="10"/>
      <c r="E1683" s="10"/>
      <c r="F1683" s="10"/>
      <c r="G1683" s="10"/>
    </row>
    <row r="1684" ht="15.75" customHeight="1">
      <c r="A1684" s="24"/>
      <c r="B1684" s="10"/>
      <c r="C1684" s="10"/>
      <c r="D1684" s="10"/>
      <c r="E1684" s="10"/>
      <c r="F1684" s="10"/>
      <c r="G1684" s="10"/>
    </row>
    <row r="1685" ht="15.75" customHeight="1">
      <c r="A1685" s="24"/>
      <c r="B1685" s="10"/>
      <c r="C1685" s="10"/>
      <c r="D1685" s="10"/>
      <c r="E1685" s="10"/>
      <c r="F1685" s="10"/>
      <c r="G1685" s="10"/>
    </row>
    <row r="1686" ht="15.75" customHeight="1">
      <c r="A1686" s="24"/>
      <c r="B1686" s="10"/>
      <c r="C1686" s="10"/>
      <c r="D1686" s="10"/>
      <c r="E1686" s="10"/>
      <c r="F1686" s="10"/>
      <c r="G1686" s="10"/>
    </row>
    <row r="1687" ht="15.75" customHeight="1">
      <c r="A1687" s="24"/>
      <c r="B1687" s="10"/>
      <c r="C1687" s="10"/>
      <c r="D1687" s="10"/>
      <c r="E1687" s="10"/>
      <c r="F1687" s="10"/>
      <c r="G1687" s="10"/>
    </row>
    <row r="1688" ht="15.75" customHeight="1">
      <c r="A1688" s="24"/>
      <c r="B1688" s="10"/>
      <c r="C1688" s="10"/>
      <c r="D1688" s="10"/>
      <c r="E1688" s="10"/>
      <c r="F1688" s="10"/>
      <c r="G1688" s="10"/>
    </row>
    <row r="1689" ht="15.75" customHeight="1">
      <c r="A1689" s="24"/>
      <c r="B1689" s="10"/>
      <c r="C1689" s="10"/>
      <c r="D1689" s="10"/>
      <c r="E1689" s="10"/>
      <c r="F1689" s="10"/>
      <c r="G1689" s="10"/>
    </row>
    <row r="1690" ht="15.75" customHeight="1">
      <c r="A1690" s="24"/>
      <c r="B1690" s="10"/>
      <c r="C1690" s="10"/>
      <c r="D1690" s="10"/>
      <c r="E1690" s="10"/>
      <c r="F1690" s="10"/>
      <c r="G1690" s="10"/>
    </row>
    <row r="1691" ht="15.75" customHeight="1">
      <c r="A1691" s="24"/>
      <c r="B1691" s="10"/>
      <c r="C1691" s="10"/>
      <c r="D1691" s="10"/>
      <c r="E1691" s="10"/>
      <c r="F1691" s="10"/>
      <c r="G1691" s="10"/>
    </row>
    <row r="1692" ht="15.75" customHeight="1">
      <c r="A1692" s="24"/>
      <c r="B1692" s="10"/>
      <c r="C1692" s="10"/>
      <c r="D1692" s="10"/>
      <c r="E1692" s="10"/>
      <c r="F1692" s="10"/>
      <c r="G1692" s="10"/>
    </row>
    <row r="1693" ht="15.75" customHeight="1">
      <c r="A1693" s="24"/>
      <c r="B1693" s="10"/>
      <c r="C1693" s="10"/>
      <c r="D1693" s="10"/>
      <c r="E1693" s="10"/>
      <c r="F1693" s="10"/>
      <c r="G1693" s="10"/>
    </row>
    <row r="1694" ht="15.75" customHeight="1">
      <c r="A1694" s="24"/>
      <c r="B1694" s="10"/>
      <c r="C1694" s="10"/>
      <c r="D1694" s="10"/>
      <c r="E1694" s="10"/>
      <c r="F1694" s="10"/>
      <c r="G1694" s="10"/>
    </row>
    <row r="1695" ht="15.75" customHeight="1">
      <c r="A1695" s="24"/>
      <c r="B1695" s="10"/>
      <c r="C1695" s="10"/>
      <c r="D1695" s="10"/>
      <c r="E1695" s="10"/>
      <c r="F1695" s="10"/>
      <c r="G1695" s="10"/>
    </row>
    <row r="1696" ht="15.75" customHeight="1">
      <c r="A1696" s="24"/>
      <c r="B1696" s="10"/>
      <c r="C1696" s="10"/>
      <c r="D1696" s="10"/>
      <c r="E1696" s="10"/>
      <c r="F1696" s="10"/>
      <c r="G1696" s="10"/>
    </row>
    <row r="1697" ht="15.75" customHeight="1">
      <c r="A1697" s="24"/>
      <c r="B1697" s="10"/>
      <c r="C1697" s="10"/>
      <c r="D1697" s="10"/>
      <c r="E1697" s="10"/>
      <c r="F1697" s="10"/>
      <c r="G1697" s="10"/>
    </row>
    <row r="1698" ht="15.75" customHeight="1">
      <c r="A1698" s="24"/>
      <c r="B1698" s="10"/>
      <c r="C1698" s="10"/>
      <c r="D1698" s="10"/>
      <c r="E1698" s="10"/>
      <c r="F1698" s="10"/>
      <c r="G1698" s="10"/>
    </row>
    <row r="1699" ht="15.75" customHeight="1">
      <c r="A1699" s="24"/>
      <c r="B1699" s="10"/>
      <c r="C1699" s="10"/>
      <c r="D1699" s="10"/>
      <c r="E1699" s="10"/>
      <c r="F1699" s="10"/>
      <c r="G1699" s="10"/>
    </row>
    <row r="1700" ht="15.75" customHeight="1">
      <c r="A1700" s="24"/>
      <c r="B1700" s="10"/>
      <c r="C1700" s="10"/>
      <c r="D1700" s="10"/>
      <c r="E1700" s="10"/>
      <c r="F1700" s="10"/>
      <c r="G1700" s="10"/>
    </row>
    <row r="1701" ht="15.75" customHeight="1">
      <c r="A1701" s="24"/>
      <c r="B1701" s="10"/>
      <c r="C1701" s="10"/>
      <c r="D1701" s="10"/>
      <c r="E1701" s="10"/>
      <c r="F1701" s="10"/>
      <c r="G1701" s="10"/>
    </row>
    <row r="1702" ht="15.75" customHeight="1">
      <c r="A1702" s="24"/>
      <c r="B1702" s="10"/>
      <c r="C1702" s="10"/>
      <c r="D1702" s="10"/>
      <c r="E1702" s="10"/>
      <c r="F1702" s="10"/>
      <c r="G1702" s="10"/>
    </row>
    <row r="1703" ht="15.75" customHeight="1">
      <c r="A1703" s="24"/>
      <c r="B1703" s="10"/>
      <c r="C1703" s="10"/>
      <c r="D1703" s="10"/>
      <c r="E1703" s="10"/>
      <c r="F1703" s="10"/>
      <c r="G1703" s="10"/>
    </row>
    <row r="1704" ht="15.75" customHeight="1">
      <c r="A1704" s="24"/>
      <c r="B1704" s="10"/>
      <c r="C1704" s="10"/>
      <c r="D1704" s="10"/>
      <c r="E1704" s="10"/>
      <c r="F1704" s="10"/>
      <c r="G1704" s="10"/>
    </row>
    <row r="1705" ht="15.75" customHeight="1">
      <c r="A1705" s="24"/>
      <c r="B1705" s="10"/>
      <c r="C1705" s="10"/>
      <c r="D1705" s="10"/>
      <c r="E1705" s="10"/>
      <c r="F1705" s="10"/>
      <c r="G1705" s="10"/>
    </row>
    <row r="1706" ht="15.75" customHeight="1">
      <c r="A1706" s="24"/>
      <c r="B1706" s="10"/>
      <c r="C1706" s="10"/>
      <c r="D1706" s="10"/>
      <c r="E1706" s="10"/>
      <c r="F1706" s="10"/>
      <c r="G1706" s="10"/>
    </row>
    <row r="1707" ht="15.75" customHeight="1">
      <c r="A1707" s="24"/>
      <c r="B1707" s="10"/>
      <c r="C1707" s="10"/>
      <c r="D1707" s="10"/>
      <c r="E1707" s="10"/>
      <c r="F1707" s="10"/>
      <c r="G1707" s="10"/>
    </row>
    <row r="1708" ht="15.75" customHeight="1">
      <c r="A1708" s="24"/>
      <c r="B1708" s="10"/>
      <c r="C1708" s="10"/>
      <c r="D1708" s="10"/>
      <c r="E1708" s="10"/>
      <c r="F1708" s="10"/>
      <c r="G1708" s="10"/>
    </row>
    <row r="1709" ht="15.75" customHeight="1">
      <c r="A1709" s="24"/>
      <c r="B1709" s="10"/>
      <c r="C1709" s="10"/>
      <c r="D1709" s="10"/>
      <c r="E1709" s="10"/>
      <c r="F1709" s="10"/>
      <c r="G1709" s="10"/>
    </row>
    <row r="1710" ht="15.75" customHeight="1">
      <c r="A1710" s="24"/>
      <c r="B1710" s="10"/>
      <c r="C1710" s="10"/>
      <c r="D1710" s="10"/>
      <c r="E1710" s="10"/>
      <c r="F1710" s="10"/>
      <c r="G1710" s="10"/>
    </row>
    <row r="1711" ht="15.75" customHeight="1">
      <c r="A1711" s="24"/>
      <c r="B1711" s="10"/>
      <c r="C1711" s="10"/>
      <c r="D1711" s="10"/>
      <c r="E1711" s="10"/>
      <c r="F1711" s="10"/>
      <c r="G1711" s="10"/>
    </row>
    <row r="1712" ht="15.75" customHeight="1">
      <c r="A1712" s="24"/>
      <c r="B1712" s="10"/>
      <c r="C1712" s="10"/>
      <c r="D1712" s="10"/>
      <c r="E1712" s="10"/>
      <c r="F1712" s="10"/>
      <c r="G1712" s="10"/>
    </row>
    <row r="1713" ht="15.75" customHeight="1">
      <c r="A1713" s="24"/>
      <c r="B1713" s="10"/>
      <c r="C1713" s="10"/>
      <c r="D1713" s="10"/>
      <c r="E1713" s="10"/>
      <c r="F1713" s="10"/>
      <c r="G1713" s="10"/>
    </row>
    <row r="1714" ht="15.75" customHeight="1">
      <c r="A1714" s="24"/>
      <c r="B1714" s="10"/>
      <c r="C1714" s="10"/>
      <c r="D1714" s="10"/>
      <c r="E1714" s="10"/>
      <c r="F1714" s="10"/>
      <c r="G1714" s="10"/>
    </row>
    <row r="1715" ht="15.75" customHeight="1">
      <c r="A1715" s="24"/>
      <c r="B1715" s="10"/>
      <c r="C1715" s="10"/>
      <c r="D1715" s="10"/>
      <c r="E1715" s="10"/>
      <c r="F1715" s="10"/>
      <c r="G1715" s="10"/>
    </row>
    <row r="1716" ht="15.75" customHeight="1">
      <c r="A1716" s="24"/>
      <c r="B1716" s="10"/>
      <c r="C1716" s="10"/>
      <c r="D1716" s="10"/>
      <c r="E1716" s="10"/>
      <c r="F1716" s="10"/>
      <c r="G1716" s="10"/>
    </row>
    <row r="1717" ht="15.75" customHeight="1">
      <c r="A1717" s="24"/>
      <c r="B1717" s="10"/>
      <c r="C1717" s="10"/>
      <c r="D1717" s="10"/>
      <c r="E1717" s="10"/>
      <c r="F1717" s="10"/>
      <c r="G1717" s="10"/>
    </row>
    <row r="1718" ht="15.75" customHeight="1">
      <c r="A1718" s="24"/>
      <c r="B1718" s="10"/>
      <c r="C1718" s="10"/>
      <c r="D1718" s="10"/>
      <c r="E1718" s="10"/>
      <c r="F1718" s="10"/>
      <c r="G1718" s="10"/>
    </row>
    <row r="1719" ht="15.75" customHeight="1">
      <c r="A1719" s="24"/>
      <c r="B1719" s="10"/>
      <c r="C1719" s="10"/>
      <c r="D1719" s="10"/>
      <c r="E1719" s="10"/>
      <c r="F1719" s="10"/>
      <c r="G1719" s="10"/>
    </row>
    <row r="1720" ht="15.75" customHeight="1">
      <c r="A1720" s="24"/>
      <c r="B1720" s="10"/>
      <c r="C1720" s="10"/>
      <c r="D1720" s="10"/>
      <c r="E1720" s="10"/>
      <c r="F1720" s="10"/>
      <c r="G1720" s="10"/>
    </row>
    <row r="1721" ht="15.75" customHeight="1">
      <c r="A1721" s="24"/>
      <c r="B1721" s="10"/>
      <c r="C1721" s="10"/>
      <c r="D1721" s="10"/>
      <c r="E1721" s="10"/>
      <c r="F1721" s="10"/>
      <c r="G1721" s="10"/>
    </row>
    <row r="1722" ht="15.75" customHeight="1">
      <c r="A1722" s="24"/>
      <c r="B1722" s="10"/>
      <c r="C1722" s="10"/>
      <c r="D1722" s="10"/>
      <c r="E1722" s="10"/>
      <c r="F1722" s="10"/>
      <c r="G1722" s="10"/>
    </row>
    <row r="1723" ht="15.75" customHeight="1">
      <c r="A1723" s="24"/>
      <c r="B1723" s="10"/>
      <c r="C1723" s="10"/>
      <c r="D1723" s="10"/>
      <c r="E1723" s="10"/>
      <c r="F1723" s="10"/>
      <c r="G1723" s="10"/>
    </row>
    <row r="1724" ht="15.75" customHeight="1">
      <c r="A1724" s="24"/>
      <c r="B1724" s="10"/>
      <c r="C1724" s="10"/>
      <c r="D1724" s="10"/>
      <c r="E1724" s="10"/>
      <c r="F1724" s="10"/>
      <c r="G1724" s="10"/>
    </row>
    <row r="1725" ht="15.75" customHeight="1">
      <c r="A1725" s="24"/>
      <c r="B1725" s="10"/>
      <c r="C1725" s="10"/>
      <c r="D1725" s="10"/>
      <c r="E1725" s="10"/>
      <c r="F1725" s="10"/>
      <c r="G1725" s="10"/>
    </row>
    <row r="1726" ht="15.75" customHeight="1">
      <c r="A1726" s="24"/>
      <c r="B1726" s="10"/>
      <c r="C1726" s="10"/>
      <c r="D1726" s="10"/>
      <c r="E1726" s="10"/>
      <c r="F1726" s="10"/>
      <c r="G1726" s="10"/>
    </row>
    <row r="1727" ht="15.75" customHeight="1">
      <c r="A1727" s="24"/>
      <c r="B1727" s="10"/>
      <c r="C1727" s="10"/>
      <c r="D1727" s="10"/>
      <c r="E1727" s="10"/>
      <c r="F1727" s="10"/>
      <c r="G1727" s="10"/>
    </row>
    <row r="1728" ht="15.75" customHeight="1">
      <c r="A1728" s="24"/>
      <c r="B1728" s="10"/>
      <c r="C1728" s="10"/>
      <c r="D1728" s="10"/>
      <c r="E1728" s="10"/>
      <c r="F1728" s="10"/>
      <c r="G1728" s="10"/>
    </row>
    <row r="1729" ht="15.75" customHeight="1">
      <c r="A1729" s="24"/>
      <c r="B1729" s="10"/>
      <c r="C1729" s="10"/>
      <c r="D1729" s="10"/>
      <c r="E1729" s="10"/>
      <c r="F1729" s="10"/>
      <c r="G1729" s="10"/>
    </row>
    <row r="1730" ht="15.75" customHeight="1">
      <c r="A1730" s="24"/>
      <c r="B1730" s="10"/>
      <c r="C1730" s="10"/>
      <c r="D1730" s="10"/>
      <c r="E1730" s="10"/>
      <c r="F1730" s="10"/>
      <c r="G1730" s="10"/>
    </row>
    <row r="1731" ht="15.75" customHeight="1">
      <c r="A1731" s="24"/>
      <c r="B1731" s="10"/>
      <c r="C1731" s="10"/>
      <c r="D1731" s="10"/>
      <c r="E1731" s="10"/>
      <c r="F1731" s="10"/>
      <c r="G1731" s="10"/>
    </row>
    <row r="1732" ht="15.75" customHeight="1">
      <c r="A1732" s="24"/>
      <c r="B1732" s="10"/>
      <c r="C1732" s="10"/>
      <c r="D1732" s="10"/>
      <c r="E1732" s="10"/>
      <c r="F1732" s="10"/>
      <c r="G1732" s="10"/>
    </row>
    <row r="1733" ht="15.75" customHeight="1">
      <c r="A1733" s="24"/>
      <c r="B1733" s="10"/>
      <c r="C1733" s="10"/>
      <c r="D1733" s="10"/>
      <c r="E1733" s="10"/>
      <c r="F1733" s="10"/>
      <c r="G1733" s="10"/>
    </row>
    <row r="1734" ht="15.75" customHeight="1">
      <c r="A1734" s="24"/>
      <c r="B1734" s="10"/>
      <c r="C1734" s="10"/>
      <c r="D1734" s="10"/>
      <c r="E1734" s="10"/>
      <c r="F1734" s="10"/>
      <c r="G1734" s="10"/>
    </row>
    <row r="1735" ht="15.75" customHeight="1">
      <c r="A1735" s="24"/>
      <c r="B1735" s="10"/>
      <c r="C1735" s="10"/>
      <c r="D1735" s="10"/>
      <c r="E1735" s="10"/>
      <c r="F1735" s="10"/>
      <c r="G1735" s="10"/>
    </row>
    <row r="1736" ht="15.75" customHeight="1">
      <c r="A1736" s="24"/>
      <c r="B1736" s="10"/>
      <c r="C1736" s="10"/>
      <c r="D1736" s="10"/>
      <c r="E1736" s="10"/>
      <c r="F1736" s="10"/>
      <c r="G1736" s="10"/>
    </row>
    <row r="1737" ht="15.75" customHeight="1">
      <c r="A1737" s="24"/>
      <c r="B1737" s="10"/>
      <c r="C1737" s="10"/>
      <c r="D1737" s="10"/>
      <c r="E1737" s="10"/>
      <c r="F1737" s="10"/>
      <c r="G1737" s="10"/>
    </row>
    <row r="1738" ht="15.75" customHeight="1">
      <c r="A1738" s="24"/>
      <c r="B1738" s="10"/>
      <c r="C1738" s="10"/>
      <c r="D1738" s="10"/>
      <c r="E1738" s="10"/>
      <c r="F1738" s="10"/>
      <c r="G1738" s="10"/>
    </row>
    <row r="1739" ht="15.75" customHeight="1">
      <c r="A1739" s="24"/>
      <c r="B1739" s="10"/>
      <c r="C1739" s="10"/>
      <c r="D1739" s="10"/>
      <c r="E1739" s="10"/>
      <c r="F1739" s="10"/>
      <c r="G1739" s="10"/>
    </row>
    <row r="1740" ht="15.75" customHeight="1">
      <c r="A1740" s="24"/>
      <c r="B1740" s="10"/>
      <c r="C1740" s="10"/>
      <c r="D1740" s="10"/>
      <c r="E1740" s="10"/>
      <c r="F1740" s="10"/>
      <c r="G1740" s="10"/>
    </row>
    <row r="1741" ht="15.75" customHeight="1">
      <c r="A1741" s="24"/>
      <c r="B1741" s="10"/>
      <c r="C1741" s="10"/>
      <c r="D1741" s="10"/>
      <c r="E1741" s="10"/>
      <c r="F1741" s="10"/>
      <c r="G1741" s="10"/>
    </row>
    <row r="1742" ht="15.75" customHeight="1">
      <c r="A1742" s="24"/>
      <c r="B1742" s="10"/>
      <c r="C1742" s="10"/>
      <c r="D1742" s="10"/>
      <c r="E1742" s="10"/>
      <c r="F1742" s="10"/>
      <c r="G1742" s="10"/>
    </row>
    <row r="1743" ht="15.75" customHeight="1">
      <c r="A1743" s="24"/>
      <c r="B1743" s="10"/>
      <c r="C1743" s="10"/>
      <c r="D1743" s="10"/>
      <c r="E1743" s="10"/>
      <c r="F1743" s="10"/>
      <c r="G1743" s="10"/>
    </row>
    <row r="1744" ht="15.75" customHeight="1">
      <c r="A1744" s="24"/>
      <c r="B1744" s="10"/>
      <c r="C1744" s="10"/>
      <c r="D1744" s="10"/>
      <c r="E1744" s="10"/>
      <c r="F1744" s="10"/>
      <c r="G1744" s="10"/>
    </row>
    <row r="1745" ht="15.75" customHeight="1">
      <c r="A1745" s="24"/>
      <c r="B1745" s="10"/>
      <c r="C1745" s="10"/>
      <c r="D1745" s="10"/>
      <c r="E1745" s="10"/>
      <c r="F1745" s="10"/>
      <c r="G1745" s="10"/>
    </row>
    <row r="1746" ht="15.75" customHeight="1">
      <c r="A1746" s="24"/>
      <c r="B1746" s="10"/>
      <c r="C1746" s="10"/>
      <c r="D1746" s="10"/>
      <c r="E1746" s="10"/>
      <c r="F1746" s="10"/>
      <c r="G1746" s="10"/>
    </row>
    <row r="1747" ht="15.75" customHeight="1">
      <c r="A1747" s="24"/>
      <c r="B1747" s="10"/>
      <c r="C1747" s="10"/>
      <c r="D1747" s="10"/>
      <c r="E1747" s="10"/>
      <c r="F1747" s="10"/>
      <c r="G1747" s="10"/>
    </row>
    <row r="1748" ht="15.75" customHeight="1">
      <c r="A1748" s="24"/>
      <c r="B1748" s="10"/>
      <c r="C1748" s="10"/>
      <c r="D1748" s="10"/>
      <c r="E1748" s="10"/>
      <c r="F1748" s="10"/>
      <c r="G1748" s="10"/>
    </row>
    <row r="1749" ht="15.75" customHeight="1">
      <c r="A1749" s="24"/>
      <c r="B1749" s="10"/>
      <c r="C1749" s="10"/>
      <c r="D1749" s="10"/>
      <c r="E1749" s="10"/>
      <c r="F1749" s="10"/>
      <c r="G1749" s="10"/>
    </row>
    <row r="1750" ht="15.75" customHeight="1">
      <c r="A1750" s="24"/>
      <c r="B1750" s="10"/>
      <c r="C1750" s="10"/>
      <c r="D1750" s="10"/>
      <c r="E1750" s="10"/>
      <c r="F1750" s="10"/>
      <c r="G1750" s="10"/>
    </row>
    <row r="1751" ht="15.75" customHeight="1">
      <c r="A1751" s="24"/>
      <c r="B1751" s="10"/>
      <c r="C1751" s="10"/>
      <c r="D1751" s="10"/>
      <c r="E1751" s="10"/>
      <c r="F1751" s="10"/>
      <c r="G1751" s="10"/>
    </row>
    <row r="1752" ht="15.75" customHeight="1">
      <c r="A1752" s="24"/>
      <c r="B1752" s="10"/>
      <c r="C1752" s="10"/>
      <c r="D1752" s="10"/>
      <c r="E1752" s="10"/>
      <c r="F1752" s="10"/>
      <c r="G1752" s="10"/>
    </row>
    <row r="1753" ht="15.75" customHeight="1">
      <c r="A1753" s="24"/>
      <c r="B1753" s="10"/>
      <c r="C1753" s="10"/>
      <c r="D1753" s="10"/>
      <c r="E1753" s="10"/>
      <c r="F1753" s="10"/>
      <c r="G1753" s="10"/>
    </row>
    <row r="1754" ht="15.75" customHeight="1">
      <c r="A1754" s="24"/>
      <c r="B1754" s="10"/>
      <c r="C1754" s="10"/>
      <c r="D1754" s="10"/>
      <c r="E1754" s="10"/>
      <c r="F1754" s="10"/>
      <c r="G1754" s="10"/>
    </row>
    <row r="1755" ht="15.75" customHeight="1">
      <c r="A1755" s="24"/>
      <c r="B1755" s="10"/>
      <c r="C1755" s="10"/>
      <c r="D1755" s="10"/>
      <c r="E1755" s="10"/>
      <c r="F1755" s="10"/>
      <c r="G1755" s="10"/>
    </row>
    <row r="1756" ht="15.75" customHeight="1">
      <c r="A1756" s="24"/>
      <c r="B1756" s="10"/>
      <c r="C1756" s="10"/>
      <c r="D1756" s="10"/>
      <c r="E1756" s="10"/>
      <c r="F1756" s="10"/>
      <c r="G1756" s="10"/>
    </row>
    <row r="1757" ht="15.75" customHeight="1">
      <c r="A1757" s="24"/>
      <c r="B1757" s="10"/>
      <c r="C1757" s="10"/>
      <c r="D1757" s="10"/>
      <c r="E1757" s="10"/>
      <c r="F1757" s="10"/>
      <c r="G1757" s="10"/>
    </row>
    <row r="1758" ht="15.75" customHeight="1">
      <c r="A1758" s="24"/>
      <c r="B1758" s="10"/>
      <c r="C1758" s="10"/>
      <c r="D1758" s="10"/>
      <c r="E1758" s="10"/>
      <c r="F1758" s="10"/>
      <c r="G1758" s="10"/>
    </row>
    <row r="1759" ht="15.75" customHeight="1">
      <c r="A1759" s="24"/>
      <c r="B1759" s="10"/>
      <c r="C1759" s="10"/>
      <c r="D1759" s="10"/>
      <c r="E1759" s="10"/>
      <c r="F1759" s="10"/>
      <c r="G1759" s="10"/>
    </row>
    <row r="1760" ht="15.75" customHeight="1">
      <c r="A1760" s="24"/>
      <c r="B1760" s="10"/>
      <c r="C1760" s="10"/>
      <c r="D1760" s="10"/>
      <c r="E1760" s="10"/>
      <c r="F1760" s="10"/>
      <c r="G1760" s="10"/>
    </row>
    <row r="1761" ht="15.75" customHeight="1">
      <c r="A1761" s="24"/>
      <c r="B1761" s="10"/>
      <c r="C1761" s="10"/>
      <c r="D1761" s="10"/>
      <c r="E1761" s="10"/>
      <c r="F1761" s="10"/>
      <c r="G1761" s="10"/>
    </row>
    <row r="1762" ht="15.75" customHeight="1">
      <c r="A1762" s="24"/>
      <c r="B1762" s="10"/>
      <c r="C1762" s="10"/>
      <c r="D1762" s="10"/>
      <c r="E1762" s="10"/>
      <c r="F1762" s="10"/>
      <c r="G1762" s="10"/>
    </row>
    <row r="1763" ht="15.75" customHeight="1">
      <c r="A1763" s="24"/>
      <c r="B1763" s="10"/>
      <c r="C1763" s="10"/>
      <c r="D1763" s="10"/>
      <c r="E1763" s="10"/>
      <c r="F1763" s="10"/>
      <c r="G1763" s="10"/>
    </row>
    <row r="1764" ht="15.75" customHeight="1">
      <c r="A1764" s="24"/>
      <c r="B1764" s="10"/>
      <c r="C1764" s="10"/>
      <c r="D1764" s="10"/>
      <c r="E1764" s="10"/>
      <c r="F1764" s="10"/>
      <c r="G1764" s="10"/>
    </row>
    <row r="1765" ht="15.75" customHeight="1">
      <c r="A1765" s="24"/>
      <c r="B1765" s="10"/>
      <c r="C1765" s="10"/>
      <c r="D1765" s="10"/>
      <c r="E1765" s="10"/>
      <c r="F1765" s="10"/>
      <c r="G1765" s="10"/>
    </row>
    <row r="1766" ht="15.75" customHeight="1">
      <c r="A1766" s="24"/>
      <c r="B1766" s="10"/>
      <c r="C1766" s="10"/>
      <c r="D1766" s="10"/>
      <c r="E1766" s="10"/>
      <c r="F1766" s="10"/>
      <c r="G1766" s="10"/>
    </row>
    <row r="1767" ht="15.75" customHeight="1">
      <c r="A1767" s="24"/>
      <c r="B1767" s="10"/>
      <c r="C1767" s="10"/>
      <c r="D1767" s="10"/>
      <c r="E1767" s="10"/>
      <c r="F1767" s="10"/>
      <c r="G1767" s="10"/>
    </row>
    <row r="1768" ht="15.75" customHeight="1">
      <c r="A1768" s="24"/>
      <c r="B1768" s="10"/>
      <c r="C1768" s="10"/>
      <c r="D1768" s="10"/>
      <c r="E1768" s="10"/>
      <c r="F1768" s="10"/>
      <c r="G1768" s="10"/>
    </row>
    <row r="1769" ht="15.75" customHeight="1">
      <c r="A1769" s="24"/>
      <c r="B1769" s="10"/>
      <c r="C1769" s="10"/>
      <c r="D1769" s="10"/>
      <c r="E1769" s="10"/>
      <c r="F1769" s="10"/>
      <c r="G1769" s="10"/>
    </row>
    <row r="1770" ht="15.75" customHeight="1">
      <c r="A1770" s="24"/>
      <c r="B1770" s="10"/>
      <c r="C1770" s="10"/>
      <c r="D1770" s="10"/>
      <c r="E1770" s="10"/>
      <c r="F1770" s="10"/>
      <c r="G1770" s="10"/>
    </row>
    <row r="1771" ht="15.75" customHeight="1">
      <c r="A1771" s="24"/>
      <c r="B1771" s="10"/>
      <c r="C1771" s="10"/>
      <c r="D1771" s="10"/>
      <c r="E1771" s="10"/>
      <c r="F1771" s="10"/>
      <c r="G1771" s="10"/>
    </row>
    <row r="1772" ht="15.75" customHeight="1">
      <c r="A1772" s="24"/>
      <c r="B1772" s="10"/>
      <c r="C1772" s="10"/>
      <c r="D1772" s="10"/>
      <c r="E1772" s="10"/>
      <c r="F1772" s="10"/>
      <c r="G1772" s="10"/>
    </row>
    <row r="1773" ht="15.75" customHeight="1">
      <c r="A1773" s="24"/>
      <c r="B1773" s="10"/>
      <c r="C1773" s="10"/>
      <c r="D1773" s="10"/>
      <c r="E1773" s="10"/>
      <c r="F1773" s="10"/>
      <c r="G1773" s="10"/>
    </row>
    <row r="1774" ht="15.75" customHeight="1">
      <c r="A1774" s="24"/>
      <c r="B1774" s="10"/>
      <c r="C1774" s="10"/>
      <c r="D1774" s="10"/>
      <c r="E1774" s="10"/>
      <c r="F1774" s="10"/>
      <c r="G1774" s="10"/>
    </row>
    <row r="1775" ht="15.75" customHeight="1">
      <c r="A1775" s="24"/>
      <c r="B1775" s="10"/>
      <c r="C1775" s="10"/>
      <c r="D1775" s="10"/>
      <c r="E1775" s="10"/>
      <c r="F1775" s="10"/>
      <c r="G1775" s="10"/>
    </row>
    <row r="1776" ht="15.75" customHeight="1">
      <c r="A1776" s="24"/>
      <c r="B1776" s="10"/>
      <c r="C1776" s="10"/>
      <c r="D1776" s="10"/>
      <c r="E1776" s="10"/>
      <c r="F1776" s="10"/>
      <c r="G1776" s="10"/>
    </row>
    <row r="1777" ht="15.75" customHeight="1">
      <c r="A1777" s="24"/>
      <c r="B1777" s="10"/>
      <c r="C1777" s="10"/>
      <c r="D1777" s="10"/>
      <c r="E1777" s="10"/>
      <c r="F1777" s="10"/>
      <c r="G1777" s="10"/>
    </row>
    <row r="1778" ht="15.75" customHeight="1">
      <c r="A1778" s="24"/>
      <c r="B1778" s="10"/>
      <c r="C1778" s="10"/>
      <c r="D1778" s="10"/>
      <c r="E1778" s="10"/>
      <c r="F1778" s="10"/>
      <c r="G1778" s="10"/>
    </row>
    <row r="1779" ht="15.75" customHeight="1">
      <c r="A1779" s="24"/>
      <c r="B1779" s="10"/>
      <c r="C1779" s="10"/>
      <c r="D1779" s="10"/>
      <c r="E1779" s="10"/>
      <c r="F1779" s="10"/>
      <c r="G1779" s="10"/>
    </row>
    <row r="1780" ht="15.75" customHeight="1">
      <c r="A1780" s="24"/>
      <c r="B1780" s="10"/>
      <c r="C1780" s="10"/>
      <c r="D1780" s="10"/>
      <c r="E1780" s="10"/>
      <c r="F1780" s="10"/>
      <c r="G1780" s="10"/>
    </row>
    <row r="1781" ht="15.75" customHeight="1">
      <c r="A1781" s="24"/>
      <c r="B1781" s="10"/>
      <c r="C1781" s="10"/>
      <c r="D1781" s="10"/>
      <c r="E1781" s="10"/>
      <c r="F1781" s="10"/>
      <c r="G1781" s="10"/>
    </row>
    <row r="1782" ht="15.75" customHeight="1">
      <c r="A1782" s="24"/>
      <c r="B1782" s="10"/>
      <c r="C1782" s="10"/>
      <c r="D1782" s="10"/>
      <c r="E1782" s="10"/>
      <c r="F1782" s="10"/>
      <c r="G1782" s="10"/>
    </row>
    <row r="1783" ht="15.75" customHeight="1">
      <c r="A1783" s="24"/>
      <c r="B1783" s="10"/>
      <c r="C1783" s="10"/>
      <c r="D1783" s="10"/>
      <c r="E1783" s="10"/>
      <c r="F1783" s="10"/>
      <c r="G1783" s="10"/>
    </row>
    <row r="1784" ht="15.75" customHeight="1">
      <c r="A1784" s="24"/>
      <c r="B1784" s="10"/>
      <c r="C1784" s="10"/>
      <c r="D1784" s="10"/>
      <c r="E1784" s="10"/>
      <c r="F1784" s="10"/>
      <c r="G1784" s="10"/>
    </row>
    <row r="1785" ht="15.75" customHeight="1">
      <c r="A1785" s="24"/>
      <c r="B1785" s="10"/>
      <c r="C1785" s="10"/>
      <c r="D1785" s="10"/>
      <c r="E1785" s="10"/>
      <c r="F1785" s="10"/>
      <c r="G1785" s="10"/>
    </row>
    <row r="1786" ht="15.75" customHeight="1">
      <c r="A1786" s="24"/>
      <c r="B1786" s="10"/>
      <c r="C1786" s="10"/>
      <c r="D1786" s="10"/>
      <c r="E1786" s="10"/>
      <c r="F1786" s="10"/>
      <c r="G1786" s="10"/>
    </row>
    <row r="1787" ht="15.75" customHeight="1">
      <c r="A1787" s="24"/>
      <c r="B1787" s="10"/>
      <c r="C1787" s="10"/>
      <c r="D1787" s="10"/>
      <c r="E1787" s="10"/>
      <c r="F1787" s="10"/>
      <c r="G1787" s="10"/>
    </row>
    <row r="1788" ht="15.75" customHeight="1">
      <c r="A1788" s="24"/>
      <c r="B1788" s="10"/>
      <c r="C1788" s="10"/>
      <c r="D1788" s="10"/>
      <c r="E1788" s="10"/>
      <c r="F1788" s="10"/>
      <c r="G1788" s="10"/>
    </row>
    <row r="1789" ht="15.75" customHeight="1">
      <c r="A1789" s="24"/>
      <c r="B1789" s="10"/>
      <c r="C1789" s="10"/>
      <c r="D1789" s="10"/>
      <c r="E1789" s="10"/>
      <c r="F1789" s="10"/>
      <c r="G1789" s="10"/>
    </row>
    <row r="1790" ht="15.75" customHeight="1">
      <c r="A1790" s="24"/>
      <c r="B1790" s="10"/>
      <c r="C1790" s="10"/>
      <c r="D1790" s="10"/>
      <c r="E1790" s="10"/>
      <c r="F1790" s="10"/>
      <c r="G1790" s="10"/>
    </row>
    <row r="1791" ht="15.75" customHeight="1">
      <c r="A1791" s="24"/>
      <c r="B1791" s="10"/>
      <c r="C1791" s="10"/>
      <c r="D1791" s="10"/>
      <c r="E1791" s="10"/>
      <c r="F1791" s="10"/>
      <c r="G1791" s="10"/>
    </row>
    <row r="1792" ht="15.75" customHeight="1">
      <c r="A1792" s="24"/>
      <c r="B1792" s="10"/>
      <c r="C1792" s="10"/>
      <c r="D1792" s="10"/>
      <c r="E1792" s="10"/>
      <c r="F1792" s="10"/>
      <c r="G1792" s="10"/>
    </row>
    <row r="1793" ht="15.75" customHeight="1">
      <c r="A1793" s="24"/>
      <c r="B1793" s="10"/>
      <c r="C1793" s="10"/>
      <c r="D1793" s="10"/>
      <c r="E1793" s="10"/>
      <c r="F1793" s="10"/>
      <c r="G1793" s="10"/>
    </row>
    <row r="1794" ht="15.75" customHeight="1">
      <c r="A1794" s="24"/>
      <c r="B1794" s="10"/>
      <c r="C1794" s="10"/>
      <c r="D1794" s="10"/>
      <c r="E1794" s="10"/>
      <c r="F1794" s="10"/>
      <c r="G1794" s="10"/>
    </row>
    <row r="1795" ht="15.75" customHeight="1">
      <c r="A1795" s="24"/>
      <c r="B1795" s="10"/>
      <c r="C1795" s="10"/>
      <c r="D1795" s="10"/>
      <c r="E1795" s="10"/>
      <c r="F1795" s="10"/>
      <c r="G1795" s="10"/>
    </row>
    <row r="1796" ht="15.75" customHeight="1">
      <c r="A1796" s="24"/>
      <c r="B1796" s="10"/>
      <c r="C1796" s="10"/>
      <c r="D1796" s="10"/>
      <c r="E1796" s="10"/>
      <c r="F1796" s="10"/>
      <c r="G1796" s="10"/>
    </row>
    <row r="1797" ht="15.75" customHeight="1">
      <c r="A1797" s="24"/>
      <c r="B1797" s="10"/>
      <c r="C1797" s="10"/>
      <c r="D1797" s="10"/>
      <c r="E1797" s="10"/>
      <c r="F1797" s="10"/>
      <c r="G1797" s="10"/>
    </row>
    <row r="1798" ht="15.75" customHeight="1">
      <c r="A1798" s="24"/>
      <c r="B1798" s="10"/>
      <c r="C1798" s="10"/>
      <c r="D1798" s="10"/>
      <c r="E1798" s="10"/>
      <c r="F1798" s="10"/>
      <c r="G1798" s="10"/>
    </row>
    <row r="1799" ht="15.75" customHeight="1">
      <c r="A1799" s="24"/>
      <c r="B1799" s="10"/>
      <c r="C1799" s="10"/>
      <c r="D1799" s="10"/>
      <c r="E1799" s="10"/>
      <c r="F1799" s="10"/>
      <c r="G1799" s="10"/>
    </row>
    <row r="1800" ht="15.75" customHeight="1">
      <c r="A1800" s="24"/>
      <c r="B1800" s="10"/>
      <c r="C1800" s="10"/>
      <c r="D1800" s="10"/>
      <c r="E1800" s="10"/>
      <c r="F1800" s="10"/>
      <c r="G1800" s="10"/>
    </row>
    <row r="1801" ht="15.75" customHeight="1">
      <c r="A1801" s="24"/>
      <c r="B1801" s="10"/>
      <c r="C1801" s="10"/>
      <c r="D1801" s="10"/>
      <c r="E1801" s="10"/>
      <c r="F1801" s="10"/>
      <c r="G1801" s="10"/>
    </row>
    <row r="1802" ht="15.75" customHeight="1">
      <c r="A1802" s="24"/>
      <c r="B1802" s="10"/>
      <c r="C1802" s="10"/>
      <c r="D1802" s="10"/>
      <c r="E1802" s="10"/>
      <c r="F1802" s="10"/>
      <c r="G1802" s="10"/>
    </row>
    <row r="1803" ht="15.75" customHeight="1">
      <c r="A1803" s="24"/>
      <c r="B1803" s="10"/>
      <c r="C1803" s="10"/>
      <c r="D1803" s="10"/>
      <c r="E1803" s="10"/>
      <c r="F1803" s="10"/>
      <c r="G1803" s="10"/>
    </row>
    <row r="1804" ht="15.75" customHeight="1">
      <c r="A1804" s="24"/>
      <c r="B1804" s="10"/>
      <c r="C1804" s="10"/>
      <c r="D1804" s="10"/>
      <c r="E1804" s="10"/>
      <c r="F1804" s="10"/>
      <c r="G1804" s="10"/>
    </row>
    <row r="1805" ht="15.75" customHeight="1">
      <c r="A1805" s="24"/>
      <c r="B1805" s="10"/>
      <c r="C1805" s="10"/>
      <c r="D1805" s="10"/>
      <c r="E1805" s="10"/>
      <c r="F1805" s="10"/>
      <c r="G1805" s="10"/>
    </row>
    <row r="1806" ht="15.75" customHeight="1">
      <c r="A1806" s="24"/>
      <c r="B1806" s="10"/>
      <c r="C1806" s="10"/>
      <c r="D1806" s="10"/>
      <c r="E1806" s="10"/>
      <c r="F1806" s="10"/>
      <c r="G1806" s="10"/>
    </row>
    <row r="1807" ht="15.75" customHeight="1">
      <c r="A1807" s="24"/>
      <c r="B1807" s="10"/>
      <c r="C1807" s="10"/>
      <c r="D1807" s="10"/>
      <c r="E1807" s="10"/>
      <c r="F1807" s="10"/>
      <c r="G1807" s="10"/>
    </row>
    <row r="1808" ht="15.75" customHeight="1">
      <c r="A1808" s="24"/>
      <c r="B1808" s="10"/>
      <c r="C1808" s="10"/>
      <c r="D1808" s="10"/>
      <c r="E1808" s="10"/>
      <c r="F1808" s="10"/>
      <c r="G1808" s="10"/>
    </row>
    <row r="1809" ht="15.75" customHeight="1">
      <c r="A1809" s="24"/>
      <c r="B1809" s="10"/>
      <c r="C1809" s="10"/>
      <c r="D1809" s="10"/>
      <c r="E1809" s="10"/>
      <c r="F1809" s="10"/>
      <c r="G1809" s="10"/>
    </row>
    <row r="1810" ht="15.75" customHeight="1">
      <c r="A1810" s="24"/>
      <c r="B1810" s="10"/>
      <c r="C1810" s="10"/>
      <c r="D1810" s="10"/>
      <c r="E1810" s="10"/>
      <c r="F1810" s="10"/>
      <c r="G1810" s="10"/>
    </row>
    <row r="1811" ht="15.75" customHeight="1">
      <c r="A1811" s="24"/>
      <c r="B1811" s="10"/>
      <c r="C1811" s="10"/>
      <c r="D1811" s="10"/>
      <c r="E1811" s="10"/>
      <c r="F1811" s="10"/>
      <c r="G1811" s="10"/>
    </row>
    <row r="1812" ht="15.75" customHeight="1">
      <c r="A1812" s="24"/>
      <c r="B1812" s="10"/>
      <c r="C1812" s="10"/>
      <c r="D1812" s="10"/>
      <c r="E1812" s="10"/>
      <c r="F1812" s="10"/>
      <c r="G1812" s="10"/>
    </row>
    <row r="1813" ht="15.75" customHeight="1">
      <c r="A1813" s="24"/>
      <c r="B1813" s="10"/>
      <c r="C1813" s="10"/>
      <c r="D1813" s="10"/>
      <c r="E1813" s="10"/>
      <c r="F1813" s="10"/>
      <c r="G1813" s="10"/>
    </row>
    <row r="1814" ht="15.75" customHeight="1">
      <c r="A1814" s="24"/>
      <c r="B1814" s="10"/>
      <c r="C1814" s="10"/>
      <c r="D1814" s="10"/>
      <c r="E1814" s="10"/>
      <c r="F1814" s="10"/>
      <c r="G1814" s="10"/>
    </row>
    <row r="1815" ht="15.75" customHeight="1">
      <c r="A1815" s="24"/>
      <c r="B1815" s="10"/>
      <c r="C1815" s="10"/>
      <c r="D1815" s="10"/>
      <c r="E1815" s="10"/>
      <c r="F1815" s="10"/>
      <c r="G1815" s="10"/>
    </row>
    <row r="1816" ht="15.75" customHeight="1">
      <c r="A1816" s="24"/>
      <c r="B1816" s="10"/>
      <c r="C1816" s="10"/>
      <c r="D1816" s="10"/>
      <c r="E1816" s="10"/>
      <c r="F1816" s="10"/>
      <c r="G1816" s="10"/>
    </row>
    <row r="1817" ht="15.75" customHeight="1">
      <c r="A1817" s="24"/>
      <c r="B1817" s="10"/>
      <c r="C1817" s="10"/>
      <c r="D1817" s="10"/>
      <c r="E1817" s="10"/>
      <c r="F1817" s="10"/>
      <c r="G1817" s="10"/>
    </row>
    <row r="1818" ht="15.75" customHeight="1">
      <c r="A1818" s="24"/>
      <c r="B1818" s="10"/>
      <c r="C1818" s="10"/>
      <c r="D1818" s="10"/>
      <c r="E1818" s="10"/>
      <c r="F1818" s="10"/>
      <c r="G1818" s="10"/>
    </row>
    <row r="1819" ht="15.75" customHeight="1">
      <c r="A1819" s="24"/>
      <c r="B1819" s="10"/>
      <c r="C1819" s="10"/>
      <c r="D1819" s="10"/>
      <c r="E1819" s="10"/>
      <c r="F1819" s="10"/>
      <c r="G1819" s="10"/>
    </row>
    <row r="1820" ht="15.75" customHeight="1">
      <c r="A1820" s="24"/>
      <c r="B1820" s="10"/>
      <c r="C1820" s="10"/>
      <c r="D1820" s="10"/>
      <c r="E1820" s="10"/>
      <c r="F1820" s="10"/>
      <c r="G1820" s="10"/>
    </row>
    <row r="1821" ht="15.75" customHeight="1">
      <c r="A1821" s="24"/>
      <c r="B1821" s="10"/>
      <c r="C1821" s="10"/>
      <c r="D1821" s="10"/>
      <c r="E1821" s="10"/>
      <c r="F1821" s="10"/>
      <c r="G1821" s="10"/>
    </row>
    <row r="1822" ht="15.75" customHeight="1">
      <c r="A1822" s="24"/>
      <c r="B1822" s="10"/>
      <c r="C1822" s="10"/>
      <c r="D1822" s="10"/>
      <c r="E1822" s="10"/>
      <c r="F1822" s="10"/>
      <c r="G1822" s="10"/>
    </row>
    <row r="1823" ht="15.75" customHeight="1">
      <c r="A1823" s="24"/>
      <c r="B1823" s="10"/>
      <c r="C1823" s="10"/>
      <c r="D1823" s="10"/>
      <c r="E1823" s="10"/>
      <c r="F1823" s="10"/>
      <c r="G1823" s="10"/>
    </row>
    <row r="1824" ht="15.75" customHeight="1">
      <c r="A1824" s="24"/>
      <c r="B1824" s="10"/>
      <c r="C1824" s="10"/>
      <c r="D1824" s="10"/>
      <c r="E1824" s="10"/>
      <c r="F1824" s="10"/>
      <c r="G1824" s="10"/>
    </row>
    <row r="1825" ht="15.75" customHeight="1">
      <c r="A1825" s="24"/>
      <c r="B1825" s="10"/>
      <c r="C1825" s="10"/>
      <c r="D1825" s="10"/>
      <c r="E1825" s="10"/>
      <c r="F1825" s="10"/>
      <c r="G1825" s="10"/>
    </row>
    <row r="1826" ht="15.75" customHeight="1">
      <c r="A1826" s="24"/>
      <c r="B1826" s="10"/>
      <c r="C1826" s="10"/>
      <c r="D1826" s="10"/>
      <c r="E1826" s="10"/>
      <c r="F1826" s="10"/>
      <c r="G1826" s="10"/>
    </row>
    <row r="1827" ht="15.75" customHeight="1">
      <c r="A1827" s="24"/>
      <c r="B1827" s="10"/>
      <c r="C1827" s="10"/>
      <c r="D1827" s="10"/>
      <c r="E1827" s="10"/>
      <c r="F1827" s="10"/>
      <c r="G1827" s="10"/>
    </row>
    <row r="1828" ht="15.75" customHeight="1">
      <c r="A1828" s="24"/>
      <c r="B1828" s="10"/>
      <c r="C1828" s="10"/>
      <c r="D1828" s="10"/>
      <c r="E1828" s="10"/>
      <c r="F1828" s="10"/>
      <c r="G1828" s="10"/>
    </row>
    <row r="1829" ht="15.75" customHeight="1">
      <c r="A1829" s="24"/>
      <c r="B1829" s="10"/>
      <c r="C1829" s="10"/>
      <c r="D1829" s="10"/>
      <c r="E1829" s="10"/>
      <c r="F1829" s="10"/>
      <c r="G1829" s="10"/>
    </row>
    <row r="1830" ht="15.75" customHeight="1">
      <c r="A1830" s="24"/>
      <c r="B1830" s="10"/>
      <c r="C1830" s="10"/>
      <c r="D1830" s="10"/>
      <c r="E1830" s="10"/>
      <c r="F1830" s="10"/>
      <c r="G1830" s="10"/>
    </row>
    <row r="1831" ht="15.75" customHeight="1">
      <c r="A1831" s="24"/>
      <c r="B1831" s="10"/>
      <c r="C1831" s="10"/>
      <c r="D1831" s="10"/>
      <c r="E1831" s="10"/>
      <c r="F1831" s="10"/>
      <c r="G1831" s="10"/>
    </row>
    <row r="1832" ht="15.75" customHeight="1">
      <c r="A1832" s="24"/>
      <c r="B1832" s="10"/>
      <c r="C1832" s="10"/>
      <c r="D1832" s="10"/>
      <c r="E1832" s="10"/>
      <c r="F1832" s="10"/>
      <c r="G1832" s="10"/>
    </row>
    <row r="1833" ht="15.75" customHeight="1">
      <c r="A1833" s="24"/>
      <c r="B1833" s="10"/>
      <c r="C1833" s="10"/>
      <c r="D1833" s="10"/>
      <c r="E1833" s="10"/>
      <c r="F1833" s="10"/>
      <c r="G1833" s="10"/>
    </row>
    <row r="1834" ht="15.75" customHeight="1">
      <c r="A1834" s="24"/>
      <c r="B1834" s="10"/>
      <c r="C1834" s="10"/>
      <c r="D1834" s="10"/>
      <c r="E1834" s="10"/>
      <c r="F1834" s="10"/>
      <c r="G1834" s="10"/>
    </row>
    <row r="1835" ht="15.75" customHeight="1">
      <c r="A1835" s="24"/>
      <c r="B1835" s="10"/>
      <c r="C1835" s="10"/>
      <c r="D1835" s="10"/>
      <c r="E1835" s="10"/>
      <c r="F1835" s="10"/>
      <c r="G1835" s="10"/>
    </row>
    <row r="1836" ht="15.75" customHeight="1">
      <c r="A1836" s="24"/>
      <c r="B1836" s="10"/>
      <c r="C1836" s="10"/>
      <c r="D1836" s="10"/>
      <c r="E1836" s="10"/>
      <c r="F1836" s="10"/>
      <c r="G1836" s="10"/>
    </row>
    <row r="1837" ht="15.75" customHeight="1">
      <c r="A1837" s="24"/>
      <c r="B1837" s="10"/>
      <c r="C1837" s="10"/>
      <c r="D1837" s="10"/>
      <c r="E1837" s="10"/>
      <c r="F1837" s="10"/>
      <c r="G1837" s="10"/>
    </row>
    <row r="1838" ht="15.75" customHeight="1">
      <c r="A1838" s="24"/>
      <c r="B1838" s="10"/>
      <c r="C1838" s="10"/>
      <c r="D1838" s="10"/>
      <c r="E1838" s="10"/>
      <c r="F1838" s="10"/>
      <c r="G1838" s="10"/>
    </row>
    <row r="1839" ht="15.75" customHeight="1">
      <c r="A1839" s="24"/>
      <c r="B1839" s="10"/>
      <c r="C1839" s="10"/>
      <c r="D1839" s="10"/>
      <c r="E1839" s="10"/>
      <c r="F1839" s="10"/>
      <c r="G1839" s="10"/>
    </row>
    <row r="1840" ht="15.75" customHeight="1">
      <c r="A1840" s="24"/>
      <c r="B1840" s="10"/>
      <c r="C1840" s="10"/>
      <c r="D1840" s="10"/>
      <c r="E1840" s="10"/>
      <c r="F1840" s="10"/>
      <c r="G1840" s="10"/>
    </row>
    <row r="1841" ht="15.75" customHeight="1">
      <c r="A1841" s="24"/>
      <c r="B1841" s="10"/>
      <c r="C1841" s="10"/>
      <c r="D1841" s="10"/>
      <c r="E1841" s="10"/>
      <c r="F1841" s="10"/>
      <c r="G1841" s="10"/>
    </row>
    <row r="1842" ht="15.75" customHeight="1">
      <c r="A1842" s="24"/>
      <c r="B1842" s="10"/>
      <c r="C1842" s="10"/>
      <c r="D1842" s="10"/>
      <c r="E1842" s="10"/>
      <c r="F1842" s="10"/>
      <c r="G1842" s="10"/>
    </row>
    <row r="1843" ht="15.75" customHeight="1">
      <c r="A1843" s="24"/>
      <c r="B1843" s="10"/>
      <c r="C1843" s="10"/>
      <c r="D1843" s="10"/>
      <c r="E1843" s="10"/>
      <c r="F1843" s="10"/>
      <c r="G1843" s="10"/>
    </row>
    <row r="1844" ht="15.75" customHeight="1">
      <c r="A1844" s="24"/>
      <c r="B1844" s="10"/>
      <c r="C1844" s="10"/>
      <c r="D1844" s="10"/>
      <c r="E1844" s="10"/>
      <c r="F1844" s="10"/>
      <c r="G1844" s="10"/>
    </row>
    <row r="1845" ht="15.75" customHeight="1">
      <c r="A1845" s="24"/>
      <c r="B1845" s="10"/>
      <c r="C1845" s="10"/>
      <c r="D1845" s="10"/>
      <c r="E1845" s="10"/>
      <c r="F1845" s="10"/>
      <c r="G1845" s="10"/>
    </row>
    <row r="1846" ht="15.75" customHeight="1">
      <c r="A1846" s="24"/>
      <c r="B1846" s="10"/>
      <c r="C1846" s="10"/>
      <c r="D1846" s="10"/>
      <c r="E1846" s="10"/>
      <c r="F1846" s="10"/>
      <c r="G1846" s="10"/>
    </row>
    <row r="1847" ht="15.75" customHeight="1">
      <c r="A1847" s="24"/>
      <c r="B1847" s="10"/>
      <c r="C1847" s="10"/>
      <c r="D1847" s="10"/>
      <c r="E1847" s="10"/>
      <c r="F1847" s="10"/>
      <c r="G1847" s="10"/>
    </row>
    <row r="1848" ht="15.75" customHeight="1">
      <c r="A1848" s="24"/>
      <c r="B1848" s="10"/>
      <c r="C1848" s="10"/>
      <c r="D1848" s="10"/>
      <c r="E1848" s="10"/>
      <c r="F1848" s="10"/>
      <c r="G1848" s="10"/>
    </row>
    <row r="1849" ht="15.75" customHeight="1">
      <c r="A1849" s="24"/>
      <c r="B1849" s="10"/>
      <c r="C1849" s="10"/>
      <c r="D1849" s="10"/>
      <c r="E1849" s="10"/>
      <c r="F1849" s="10"/>
      <c r="G1849" s="10"/>
    </row>
    <row r="1850" ht="15.75" customHeight="1">
      <c r="A1850" s="24"/>
      <c r="B1850" s="10"/>
      <c r="C1850" s="10"/>
      <c r="D1850" s="10"/>
      <c r="E1850" s="10"/>
      <c r="F1850" s="10"/>
      <c r="G1850" s="10"/>
    </row>
    <row r="1851" ht="15.75" customHeight="1">
      <c r="A1851" s="24"/>
      <c r="B1851" s="10"/>
      <c r="C1851" s="10"/>
      <c r="D1851" s="10"/>
      <c r="E1851" s="10"/>
      <c r="F1851" s="10"/>
      <c r="G1851" s="10"/>
    </row>
    <row r="1852" ht="15.75" customHeight="1">
      <c r="A1852" s="24"/>
      <c r="B1852" s="10"/>
      <c r="C1852" s="10"/>
      <c r="D1852" s="10"/>
      <c r="E1852" s="10"/>
      <c r="F1852" s="10"/>
      <c r="G1852" s="10"/>
    </row>
    <row r="1853" ht="15.75" customHeight="1">
      <c r="A1853" s="24"/>
      <c r="B1853" s="10"/>
      <c r="C1853" s="10"/>
      <c r="D1853" s="10"/>
      <c r="E1853" s="10"/>
      <c r="F1853" s="10"/>
      <c r="G1853" s="10"/>
    </row>
    <row r="1854" ht="15.75" customHeight="1">
      <c r="A1854" s="24"/>
      <c r="B1854" s="10"/>
      <c r="C1854" s="10"/>
      <c r="D1854" s="10"/>
      <c r="E1854" s="10"/>
      <c r="F1854" s="10"/>
      <c r="G1854" s="10"/>
    </row>
    <row r="1855" ht="15.75" customHeight="1">
      <c r="A1855" s="24"/>
      <c r="B1855" s="10"/>
      <c r="C1855" s="10"/>
      <c r="D1855" s="10"/>
      <c r="E1855" s="10"/>
      <c r="F1855" s="10"/>
      <c r="G1855" s="10"/>
    </row>
    <row r="1856" ht="15.75" customHeight="1">
      <c r="A1856" s="24"/>
      <c r="B1856" s="10"/>
      <c r="C1856" s="10"/>
      <c r="D1856" s="10"/>
      <c r="E1856" s="10"/>
      <c r="F1856" s="10"/>
      <c r="G1856" s="10"/>
    </row>
    <row r="1857" ht="15.75" customHeight="1">
      <c r="A1857" s="24"/>
      <c r="B1857" s="10"/>
      <c r="C1857" s="10"/>
      <c r="D1857" s="10"/>
      <c r="E1857" s="10"/>
      <c r="F1857" s="10"/>
      <c r="G1857" s="10"/>
    </row>
    <row r="1858" ht="15.75" customHeight="1">
      <c r="A1858" s="24"/>
      <c r="B1858" s="10"/>
      <c r="C1858" s="10"/>
      <c r="D1858" s="10"/>
      <c r="E1858" s="10"/>
      <c r="F1858" s="10"/>
      <c r="G1858" s="10"/>
    </row>
    <row r="1859" ht="15.75" customHeight="1">
      <c r="A1859" s="24"/>
      <c r="B1859" s="10"/>
      <c r="C1859" s="10"/>
      <c r="D1859" s="10"/>
      <c r="E1859" s="10"/>
      <c r="F1859" s="10"/>
      <c r="G1859" s="10"/>
    </row>
    <row r="1860" ht="15.75" customHeight="1">
      <c r="A1860" s="24"/>
      <c r="B1860" s="10"/>
      <c r="C1860" s="10"/>
      <c r="D1860" s="10"/>
      <c r="E1860" s="10"/>
      <c r="F1860" s="10"/>
      <c r="G1860" s="10"/>
    </row>
    <row r="1861" ht="15.75" customHeight="1">
      <c r="A1861" s="24"/>
      <c r="B1861" s="10"/>
      <c r="C1861" s="10"/>
      <c r="D1861" s="10"/>
      <c r="E1861" s="10"/>
      <c r="F1861" s="10"/>
      <c r="G1861" s="10"/>
    </row>
    <row r="1862" ht="15.75" customHeight="1">
      <c r="A1862" s="24"/>
      <c r="B1862" s="10"/>
      <c r="C1862" s="10"/>
      <c r="D1862" s="10"/>
      <c r="E1862" s="10"/>
      <c r="F1862" s="10"/>
      <c r="G1862" s="10"/>
    </row>
    <row r="1863" ht="15.75" customHeight="1">
      <c r="A1863" s="24"/>
      <c r="B1863" s="10"/>
      <c r="C1863" s="10"/>
      <c r="D1863" s="10"/>
      <c r="E1863" s="10"/>
      <c r="F1863" s="10"/>
      <c r="G1863" s="10"/>
    </row>
    <row r="1864" ht="15.75" customHeight="1">
      <c r="A1864" s="24"/>
      <c r="B1864" s="10"/>
      <c r="C1864" s="10"/>
      <c r="D1864" s="10"/>
      <c r="E1864" s="10"/>
      <c r="F1864" s="10"/>
      <c r="G1864" s="10"/>
    </row>
    <row r="1865" ht="15.75" customHeight="1">
      <c r="A1865" s="24"/>
      <c r="B1865" s="10"/>
      <c r="C1865" s="10"/>
      <c r="D1865" s="10"/>
      <c r="E1865" s="10"/>
      <c r="F1865" s="10"/>
      <c r="G1865" s="10"/>
    </row>
    <row r="1866" ht="15.75" customHeight="1">
      <c r="A1866" s="24"/>
      <c r="B1866" s="10"/>
      <c r="C1866" s="10"/>
      <c r="D1866" s="10"/>
      <c r="E1866" s="10"/>
      <c r="F1866" s="10"/>
      <c r="G1866" s="10"/>
    </row>
    <row r="1867" ht="15.75" customHeight="1">
      <c r="A1867" s="24"/>
      <c r="B1867" s="10"/>
      <c r="C1867" s="10"/>
      <c r="D1867" s="10"/>
      <c r="E1867" s="10"/>
      <c r="F1867" s="10"/>
      <c r="G1867" s="10"/>
    </row>
    <row r="1868" ht="15.75" customHeight="1">
      <c r="A1868" s="24"/>
      <c r="B1868" s="10"/>
      <c r="C1868" s="10"/>
      <c r="D1868" s="10"/>
      <c r="E1868" s="10"/>
      <c r="F1868" s="10"/>
      <c r="G1868" s="10"/>
    </row>
    <row r="1869" ht="15.75" customHeight="1">
      <c r="A1869" s="24"/>
      <c r="B1869" s="10"/>
      <c r="C1869" s="10"/>
      <c r="D1869" s="10"/>
      <c r="E1869" s="10"/>
      <c r="F1869" s="10"/>
      <c r="G1869" s="10"/>
    </row>
    <row r="1870" ht="15.75" customHeight="1">
      <c r="A1870" s="24"/>
      <c r="B1870" s="10"/>
      <c r="C1870" s="10"/>
      <c r="D1870" s="10"/>
      <c r="E1870" s="10"/>
      <c r="F1870" s="10"/>
      <c r="G1870" s="10"/>
    </row>
    <row r="1871" ht="15.75" customHeight="1">
      <c r="A1871" s="24"/>
      <c r="B1871" s="10"/>
      <c r="C1871" s="10"/>
      <c r="D1871" s="10"/>
      <c r="E1871" s="10"/>
      <c r="F1871" s="10"/>
      <c r="G1871" s="10"/>
    </row>
    <row r="1872" ht="15.75" customHeight="1">
      <c r="A1872" s="24"/>
      <c r="B1872" s="10"/>
      <c r="C1872" s="10"/>
      <c r="D1872" s="10"/>
      <c r="E1872" s="10"/>
      <c r="F1872" s="10"/>
      <c r="G1872" s="10"/>
    </row>
    <row r="1873" ht="15.75" customHeight="1">
      <c r="A1873" s="24"/>
      <c r="B1873" s="10"/>
      <c r="C1873" s="10"/>
      <c r="D1873" s="10"/>
      <c r="E1873" s="10"/>
      <c r="F1873" s="10"/>
      <c r="G1873" s="10"/>
    </row>
    <row r="1874" ht="15.75" customHeight="1">
      <c r="A1874" s="24"/>
      <c r="B1874" s="10"/>
      <c r="C1874" s="10"/>
      <c r="D1874" s="10"/>
      <c r="E1874" s="10"/>
      <c r="F1874" s="10"/>
      <c r="G1874" s="10"/>
    </row>
    <row r="1875" ht="15.75" customHeight="1">
      <c r="A1875" s="24"/>
      <c r="B1875" s="10"/>
      <c r="C1875" s="10"/>
      <c r="D1875" s="10"/>
      <c r="E1875" s="10"/>
      <c r="F1875" s="10"/>
      <c r="G1875" s="10"/>
    </row>
    <row r="1876" ht="15.75" customHeight="1">
      <c r="A1876" s="24"/>
      <c r="B1876" s="10"/>
      <c r="C1876" s="10"/>
      <c r="D1876" s="10"/>
      <c r="E1876" s="10"/>
      <c r="F1876" s="10"/>
      <c r="G1876" s="10"/>
    </row>
    <row r="1877" ht="15.75" customHeight="1">
      <c r="A1877" s="24"/>
      <c r="B1877" s="10"/>
      <c r="C1877" s="10"/>
      <c r="D1877" s="10"/>
      <c r="E1877" s="10"/>
      <c r="F1877" s="10"/>
      <c r="G1877" s="10"/>
    </row>
    <row r="1878" ht="15.75" customHeight="1">
      <c r="A1878" s="24"/>
      <c r="B1878" s="10"/>
      <c r="C1878" s="10"/>
      <c r="D1878" s="10"/>
      <c r="E1878" s="10"/>
      <c r="F1878" s="10"/>
      <c r="G1878" s="10"/>
    </row>
    <row r="1879" ht="15.75" customHeight="1">
      <c r="A1879" s="24"/>
      <c r="B1879" s="10"/>
      <c r="C1879" s="10"/>
      <c r="D1879" s="10"/>
      <c r="E1879" s="10"/>
      <c r="F1879" s="10"/>
      <c r="G1879" s="10"/>
    </row>
    <row r="1880" ht="15.75" customHeight="1">
      <c r="A1880" s="24"/>
      <c r="B1880" s="10"/>
      <c r="C1880" s="10"/>
      <c r="D1880" s="10"/>
      <c r="E1880" s="10"/>
      <c r="F1880" s="10"/>
      <c r="G1880" s="10"/>
    </row>
    <row r="1881" ht="15.75" customHeight="1">
      <c r="A1881" s="24"/>
      <c r="B1881" s="10"/>
      <c r="C1881" s="10"/>
      <c r="D1881" s="10"/>
      <c r="E1881" s="10"/>
      <c r="F1881" s="10"/>
      <c r="G1881" s="10"/>
    </row>
    <row r="1882" ht="15.75" customHeight="1">
      <c r="A1882" s="24"/>
      <c r="B1882" s="10"/>
      <c r="C1882" s="10"/>
      <c r="D1882" s="10"/>
      <c r="E1882" s="10"/>
      <c r="F1882" s="10"/>
      <c r="G1882" s="10"/>
    </row>
    <row r="1883" ht="15.75" customHeight="1">
      <c r="A1883" s="24"/>
      <c r="B1883" s="10"/>
      <c r="C1883" s="10"/>
      <c r="D1883" s="10"/>
      <c r="E1883" s="10"/>
      <c r="F1883" s="10"/>
      <c r="G1883" s="10"/>
    </row>
    <row r="1884" ht="15.75" customHeight="1">
      <c r="A1884" s="24"/>
      <c r="B1884" s="10"/>
      <c r="C1884" s="10"/>
      <c r="D1884" s="10"/>
      <c r="E1884" s="10"/>
      <c r="F1884" s="10"/>
      <c r="G1884" s="10"/>
    </row>
    <row r="1885" ht="15.75" customHeight="1">
      <c r="A1885" s="24"/>
      <c r="B1885" s="10"/>
      <c r="C1885" s="10"/>
      <c r="D1885" s="10"/>
      <c r="E1885" s="10"/>
      <c r="F1885" s="10"/>
      <c r="G1885" s="10"/>
    </row>
    <row r="1886" ht="15.75" customHeight="1">
      <c r="A1886" s="24"/>
      <c r="B1886" s="10"/>
      <c r="C1886" s="10"/>
      <c r="D1886" s="10"/>
      <c r="E1886" s="10"/>
      <c r="F1886" s="10"/>
      <c r="G1886" s="10"/>
    </row>
    <row r="1887" ht="15.75" customHeight="1">
      <c r="A1887" s="24"/>
      <c r="B1887" s="10"/>
      <c r="C1887" s="10"/>
      <c r="D1887" s="10"/>
      <c r="E1887" s="10"/>
      <c r="F1887" s="10"/>
      <c r="G1887" s="10"/>
    </row>
    <row r="1888" ht="15.75" customHeight="1">
      <c r="A1888" s="24"/>
      <c r="B1888" s="10"/>
      <c r="C1888" s="10"/>
      <c r="D1888" s="10"/>
      <c r="E1888" s="10"/>
      <c r="F1888" s="10"/>
      <c r="G1888" s="10"/>
    </row>
    <row r="1889" ht="15.75" customHeight="1">
      <c r="A1889" s="24"/>
      <c r="B1889" s="10"/>
      <c r="C1889" s="10"/>
      <c r="D1889" s="10"/>
      <c r="E1889" s="10"/>
      <c r="F1889" s="10"/>
      <c r="G1889" s="10"/>
    </row>
    <row r="1890" ht="15.75" customHeight="1">
      <c r="A1890" s="24"/>
      <c r="B1890" s="10"/>
      <c r="C1890" s="10"/>
      <c r="D1890" s="10"/>
      <c r="E1890" s="10"/>
      <c r="F1890" s="10"/>
      <c r="G1890" s="10"/>
    </row>
    <row r="1891" ht="15.75" customHeight="1">
      <c r="A1891" s="24"/>
      <c r="B1891" s="10"/>
      <c r="C1891" s="10"/>
      <c r="D1891" s="10"/>
      <c r="E1891" s="10"/>
      <c r="F1891" s="10"/>
      <c r="G1891" s="10"/>
    </row>
    <row r="1892" ht="15.75" customHeight="1">
      <c r="A1892" s="24"/>
      <c r="B1892" s="10"/>
      <c r="C1892" s="10"/>
      <c r="D1892" s="10"/>
      <c r="E1892" s="10"/>
      <c r="F1892" s="10"/>
      <c r="G1892" s="10"/>
    </row>
    <row r="1893" ht="15.75" customHeight="1">
      <c r="A1893" s="24"/>
      <c r="B1893" s="10"/>
      <c r="C1893" s="10"/>
      <c r="D1893" s="10"/>
      <c r="E1893" s="10"/>
      <c r="F1893" s="10"/>
      <c r="G1893" s="10"/>
    </row>
    <row r="1894" ht="15.75" customHeight="1">
      <c r="A1894" s="24"/>
      <c r="B1894" s="10"/>
      <c r="C1894" s="10"/>
      <c r="D1894" s="10"/>
      <c r="E1894" s="10"/>
      <c r="F1894" s="10"/>
      <c r="G1894" s="10"/>
    </row>
    <row r="1895" ht="15.75" customHeight="1">
      <c r="A1895" s="24"/>
      <c r="B1895" s="10"/>
      <c r="C1895" s="10"/>
      <c r="D1895" s="10"/>
      <c r="E1895" s="10"/>
      <c r="F1895" s="10"/>
      <c r="G1895" s="10"/>
    </row>
    <row r="1896" ht="15.75" customHeight="1">
      <c r="A1896" s="24"/>
      <c r="B1896" s="10"/>
      <c r="C1896" s="10"/>
      <c r="D1896" s="10"/>
      <c r="E1896" s="10"/>
      <c r="F1896" s="10"/>
      <c r="G1896" s="10"/>
    </row>
    <row r="1897" ht="15.75" customHeight="1">
      <c r="A1897" s="24"/>
      <c r="B1897" s="10"/>
      <c r="C1897" s="10"/>
      <c r="D1897" s="10"/>
      <c r="E1897" s="10"/>
      <c r="F1897" s="10"/>
      <c r="G1897" s="10"/>
    </row>
    <row r="1898" ht="15.75" customHeight="1">
      <c r="A1898" s="24"/>
      <c r="B1898" s="10"/>
      <c r="C1898" s="10"/>
      <c r="D1898" s="10"/>
      <c r="E1898" s="10"/>
      <c r="F1898" s="10"/>
      <c r="G1898" s="10"/>
    </row>
    <row r="1899" ht="15.75" customHeight="1">
      <c r="A1899" s="24"/>
      <c r="B1899" s="10"/>
      <c r="C1899" s="10"/>
      <c r="D1899" s="10"/>
      <c r="E1899" s="10"/>
      <c r="F1899" s="10"/>
      <c r="G1899" s="10"/>
    </row>
    <row r="1900" ht="15.75" customHeight="1">
      <c r="A1900" s="24"/>
      <c r="B1900" s="10"/>
      <c r="C1900" s="10"/>
      <c r="D1900" s="10"/>
      <c r="E1900" s="10"/>
      <c r="F1900" s="10"/>
      <c r="G1900" s="10"/>
    </row>
    <row r="1901" ht="15.75" customHeight="1">
      <c r="A1901" s="24"/>
      <c r="B1901" s="10"/>
      <c r="C1901" s="10"/>
      <c r="D1901" s="10"/>
      <c r="E1901" s="10"/>
      <c r="F1901" s="10"/>
      <c r="G1901" s="10"/>
    </row>
    <row r="1902" ht="15.75" customHeight="1">
      <c r="A1902" s="24"/>
      <c r="B1902" s="10"/>
      <c r="C1902" s="10"/>
      <c r="D1902" s="10"/>
      <c r="E1902" s="10"/>
      <c r="F1902" s="10"/>
      <c r="G1902" s="10"/>
    </row>
    <row r="1903" ht="15.75" customHeight="1">
      <c r="A1903" s="24"/>
      <c r="B1903" s="10"/>
      <c r="C1903" s="10"/>
      <c r="D1903" s="10"/>
      <c r="E1903" s="10"/>
      <c r="F1903" s="10"/>
      <c r="G1903" s="10"/>
    </row>
    <row r="1904" ht="15.75" customHeight="1">
      <c r="A1904" s="24"/>
      <c r="B1904" s="10"/>
      <c r="C1904" s="10"/>
      <c r="D1904" s="10"/>
      <c r="E1904" s="10"/>
      <c r="F1904" s="10"/>
      <c r="G1904" s="10"/>
    </row>
    <row r="1905" ht="15.75" customHeight="1">
      <c r="A1905" s="24"/>
      <c r="B1905" s="10"/>
      <c r="C1905" s="10"/>
      <c r="D1905" s="10"/>
      <c r="E1905" s="10"/>
      <c r="F1905" s="10"/>
      <c r="G1905" s="10"/>
    </row>
    <row r="1906" ht="15.75" customHeight="1">
      <c r="A1906" s="24"/>
      <c r="B1906" s="10"/>
      <c r="C1906" s="10"/>
      <c r="D1906" s="10"/>
      <c r="E1906" s="10"/>
      <c r="F1906" s="10"/>
      <c r="G1906" s="10"/>
    </row>
    <row r="1907" ht="15.75" customHeight="1">
      <c r="A1907" s="24"/>
      <c r="B1907" s="10"/>
      <c r="C1907" s="10"/>
      <c r="D1907" s="10"/>
      <c r="E1907" s="10"/>
      <c r="F1907" s="10"/>
      <c r="G1907" s="10"/>
    </row>
    <row r="1908" ht="15.75" customHeight="1">
      <c r="A1908" s="24"/>
      <c r="B1908" s="10"/>
      <c r="C1908" s="10"/>
      <c r="D1908" s="10"/>
      <c r="E1908" s="10"/>
      <c r="F1908" s="10"/>
      <c r="G1908" s="10"/>
    </row>
    <row r="1909" ht="15.75" customHeight="1">
      <c r="A1909" s="24"/>
      <c r="B1909" s="10"/>
      <c r="C1909" s="10"/>
      <c r="D1909" s="10"/>
      <c r="E1909" s="10"/>
      <c r="F1909" s="10"/>
      <c r="G1909" s="10"/>
    </row>
    <row r="1910" ht="15.75" customHeight="1">
      <c r="A1910" s="24"/>
      <c r="B1910" s="10"/>
      <c r="C1910" s="10"/>
      <c r="D1910" s="10"/>
      <c r="E1910" s="10"/>
      <c r="F1910" s="10"/>
      <c r="G1910" s="10"/>
    </row>
    <row r="1911" ht="15.75" customHeight="1">
      <c r="A1911" s="24"/>
      <c r="B1911" s="10"/>
      <c r="C1911" s="10"/>
      <c r="D1911" s="10"/>
      <c r="E1911" s="10"/>
      <c r="F1911" s="10"/>
      <c r="G1911" s="10"/>
    </row>
    <row r="1912" ht="15.75" customHeight="1">
      <c r="A1912" s="24"/>
      <c r="B1912" s="10"/>
      <c r="C1912" s="10"/>
      <c r="D1912" s="10"/>
      <c r="E1912" s="10"/>
      <c r="F1912" s="10"/>
      <c r="G1912" s="10"/>
    </row>
    <row r="1913" ht="15.75" customHeight="1">
      <c r="A1913" s="24"/>
      <c r="B1913" s="10"/>
      <c r="C1913" s="10"/>
      <c r="D1913" s="10"/>
      <c r="E1913" s="10"/>
      <c r="F1913" s="10"/>
      <c r="G1913" s="10"/>
    </row>
    <row r="1914" ht="15.75" customHeight="1">
      <c r="A1914" s="24"/>
      <c r="B1914" s="10"/>
      <c r="C1914" s="10"/>
      <c r="D1914" s="10"/>
      <c r="E1914" s="10"/>
      <c r="F1914" s="10"/>
      <c r="G1914" s="10"/>
    </row>
    <row r="1915" ht="15.75" customHeight="1">
      <c r="A1915" s="24"/>
      <c r="B1915" s="10"/>
      <c r="C1915" s="10"/>
      <c r="D1915" s="10"/>
      <c r="E1915" s="10"/>
      <c r="F1915" s="10"/>
      <c r="G1915" s="10"/>
    </row>
    <row r="1916" ht="15.75" customHeight="1">
      <c r="A1916" s="24"/>
      <c r="B1916" s="10"/>
      <c r="C1916" s="10"/>
      <c r="D1916" s="10"/>
      <c r="E1916" s="10"/>
      <c r="F1916" s="10"/>
      <c r="G1916" s="10"/>
    </row>
    <row r="1917" ht="15.75" customHeight="1">
      <c r="A1917" s="24"/>
      <c r="B1917" s="10"/>
      <c r="C1917" s="10"/>
      <c r="D1917" s="10"/>
      <c r="E1917" s="10"/>
      <c r="F1917" s="10"/>
      <c r="G1917" s="10"/>
    </row>
    <row r="1918" ht="15.75" customHeight="1">
      <c r="A1918" s="24"/>
      <c r="B1918" s="10"/>
      <c r="C1918" s="10"/>
      <c r="D1918" s="10"/>
      <c r="E1918" s="10"/>
      <c r="F1918" s="10"/>
      <c r="G1918" s="10"/>
    </row>
    <row r="1919" ht="15.75" customHeight="1">
      <c r="A1919" s="24"/>
      <c r="B1919" s="10"/>
      <c r="C1919" s="10"/>
      <c r="D1919" s="10"/>
      <c r="E1919" s="10"/>
      <c r="F1919" s="10"/>
      <c r="G1919" s="10"/>
    </row>
    <row r="1920" ht="15.75" customHeight="1">
      <c r="A1920" s="24"/>
      <c r="B1920" s="10"/>
      <c r="C1920" s="10"/>
      <c r="D1920" s="10"/>
      <c r="E1920" s="10"/>
      <c r="F1920" s="10"/>
      <c r="G1920" s="10"/>
    </row>
    <row r="1921" ht="15.75" customHeight="1">
      <c r="A1921" s="24"/>
      <c r="B1921" s="10"/>
      <c r="C1921" s="10"/>
      <c r="D1921" s="10"/>
      <c r="E1921" s="10"/>
      <c r="F1921" s="10"/>
      <c r="G1921" s="10"/>
    </row>
    <row r="1922" ht="15.75" customHeight="1">
      <c r="A1922" s="24"/>
      <c r="B1922" s="10"/>
      <c r="C1922" s="10"/>
      <c r="D1922" s="10"/>
      <c r="E1922" s="10"/>
      <c r="F1922" s="10"/>
      <c r="G1922" s="10"/>
    </row>
    <row r="1923" ht="15.75" customHeight="1">
      <c r="A1923" s="24"/>
      <c r="B1923" s="10"/>
      <c r="C1923" s="10"/>
      <c r="D1923" s="10"/>
      <c r="E1923" s="10"/>
      <c r="F1923" s="10"/>
      <c r="G1923" s="10"/>
    </row>
    <row r="1924" ht="15.75" customHeight="1">
      <c r="A1924" s="24"/>
      <c r="B1924" s="10"/>
      <c r="C1924" s="10"/>
      <c r="D1924" s="10"/>
      <c r="E1924" s="10"/>
      <c r="F1924" s="10"/>
      <c r="G1924" s="10"/>
    </row>
    <row r="1925" ht="15.75" customHeight="1">
      <c r="A1925" s="24"/>
      <c r="B1925" s="10"/>
      <c r="C1925" s="10"/>
      <c r="D1925" s="10"/>
      <c r="E1925" s="10"/>
      <c r="F1925" s="10"/>
      <c r="G1925" s="10"/>
    </row>
    <row r="1926" ht="15.75" customHeight="1">
      <c r="A1926" s="24"/>
      <c r="B1926" s="10"/>
      <c r="C1926" s="10"/>
      <c r="D1926" s="10"/>
      <c r="E1926" s="10"/>
      <c r="F1926" s="10"/>
      <c r="G1926" s="10"/>
    </row>
    <row r="1927" ht="15.75" customHeight="1">
      <c r="A1927" s="24"/>
      <c r="B1927" s="10"/>
      <c r="C1927" s="10"/>
      <c r="D1927" s="10"/>
      <c r="E1927" s="10"/>
      <c r="F1927" s="10"/>
      <c r="G1927" s="10"/>
    </row>
    <row r="1928" ht="15.75" customHeight="1">
      <c r="A1928" s="24"/>
      <c r="B1928" s="10"/>
      <c r="C1928" s="10"/>
      <c r="D1928" s="10"/>
      <c r="E1928" s="10"/>
      <c r="F1928" s="10"/>
      <c r="G1928" s="10"/>
    </row>
    <row r="1929" ht="15.75" customHeight="1">
      <c r="A1929" s="24"/>
      <c r="B1929" s="10"/>
      <c r="C1929" s="10"/>
      <c r="D1929" s="10"/>
      <c r="E1929" s="10"/>
      <c r="F1929" s="10"/>
      <c r="G1929" s="10"/>
    </row>
    <row r="1930" ht="15.75" customHeight="1">
      <c r="A1930" s="24"/>
      <c r="B1930" s="10"/>
      <c r="C1930" s="10"/>
      <c r="D1930" s="10"/>
      <c r="E1930" s="10"/>
      <c r="F1930" s="10"/>
      <c r="G1930" s="10"/>
    </row>
    <row r="1931" ht="15.75" customHeight="1">
      <c r="A1931" s="24"/>
      <c r="B1931" s="10"/>
      <c r="C1931" s="10"/>
      <c r="D1931" s="10"/>
      <c r="E1931" s="10"/>
      <c r="F1931" s="10"/>
      <c r="G1931" s="10"/>
    </row>
    <row r="1932" ht="15.75" customHeight="1">
      <c r="A1932" s="24"/>
      <c r="B1932" s="10"/>
      <c r="C1932" s="10"/>
      <c r="D1932" s="10"/>
      <c r="E1932" s="10"/>
      <c r="F1932" s="10"/>
      <c r="G1932" s="10"/>
    </row>
    <row r="1933" ht="15.75" customHeight="1">
      <c r="A1933" s="24"/>
      <c r="B1933" s="10"/>
      <c r="C1933" s="10"/>
      <c r="D1933" s="10"/>
      <c r="E1933" s="10"/>
      <c r="F1933" s="10"/>
      <c r="G1933" s="10"/>
    </row>
    <row r="1934" ht="15.75" customHeight="1">
      <c r="A1934" s="24"/>
      <c r="B1934" s="10"/>
      <c r="C1934" s="10"/>
      <c r="D1934" s="10"/>
      <c r="E1934" s="10"/>
      <c r="F1934" s="10"/>
      <c r="G1934" s="10"/>
    </row>
    <row r="1935" ht="15.75" customHeight="1">
      <c r="A1935" s="24"/>
      <c r="B1935" s="10"/>
      <c r="C1935" s="10"/>
      <c r="D1935" s="10"/>
      <c r="E1935" s="10"/>
      <c r="F1935" s="10"/>
      <c r="G1935" s="10"/>
    </row>
    <row r="1936" ht="15.75" customHeight="1">
      <c r="A1936" s="24"/>
      <c r="B1936" s="10"/>
      <c r="C1936" s="10"/>
      <c r="D1936" s="10"/>
      <c r="E1936" s="10"/>
      <c r="F1936" s="10"/>
      <c r="G1936" s="10"/>
    </row>
    <row r="1937" ht="15.75" customHeight="1">
      <c r="A1937" s="24"/>
      <c r="B1937" s="10"/>
      <c r="C1937" s="10"/>
      <c r="D1937" s="10"/>
      <c r="E1937" s="10"/>
      <c r="F1937" s="10"/>
      <c r="G1937" s="10"/>
    </row>
    <row r="1938" ht="15.75" customHeight="1">
      <c r="A1938" s="24"/>
      <c r="B1938" s="10"/>
      <c r="C1938" s="10"/>
      <c r="D1938" s="10"/>
      <c r="E1938" s="10"/>
      <c r="F1938" s="10"/>
      <c r="G1938" s="10"/>
    </row>
    <row r="1939" ht="15.75" customHeight="1">
      <c r="A1939" s="24"/>
      <c r="B1939" s="10"/>
      <c r="C1939" s="10"/>
      <c r="D1939" s="10"/>
      <c r="E1939" s="10"/>
      <c r="F1939" s="10"/>
      <c r="G1939" s="10"/>
    </row>
    <row r="1940" ht="15.75" customHeight="1">
      <c r="A1940" s="24"/>
      <c r="B1940" s="10"/>
      <c r="C1940" s="10"/>
      <c r="D1940" s="10"/>
      <c r="E1940" s="10"/>
      <c r="F1940" s="10"/>
      <c r="G1940" s="10"/>
    </row>
    <row r="1941" ht="15.75" customHeight="1">
      <c r="A1941" s="24"/>
      <c r="B1941" s="10"/>
      <c r="C1941" s="10"/>
      <c r="D1941" s="10"/>
      <c r="E1941" s="10"/>
      <c r="F1941" s="10"/>
      <c r="G1941" s="10"/>
    </row>
    <row r="1942" ht="15.75" customHeight="1">
      <c r="A1942" s="24"/>
      <c r="B1942" s="10"/>
      <c r="C1942" s="10"/>
      <c r="D1942" s="10"/>
      <c r="E1942" s="10"/>
      <c r="F1942" s="10"/>
      <c r="G1942" s="10"/>
    </row>
    <row r="1943" ht="15.75" customHeight="1">
      <c r="A1943" s="24"/>
      <c r="B1943" s="10"/>
      <c r="C1943" s="10"/>
      <c r="D1943" s="10"/>
      <c r="E1943" s="10"/>
      <c r="F1943" s="10"/>
      <c r="G1943" s="10"/>
    </row>
    <row r="1944" ht="15.75" customHeight="1">
      <c r="A1944" s="24"/>
      <c r="B1944" s="10"/>
      <c r="C1944" s="10"/>
      <c r="D1944" s="10"/>
      <c r="E1944" s="10"/>
      <c r="F1944" s="10"/>
      <c r="G1944" s="10"/>
    </row>
    <row r="1945" ht="15.75" customHeight="1">
      <c r="A1945" s="24"/>
      <c r="B1945" s="10"/>
      <c r="C1945" s="10"/>
      <c r="D1945" s="10"/>
      <c r="E1945" s="10"/>
      <c r="F1945" s="10"/>
      <c r="G1945" s="10"/>
    </row>
    <row r="1946" ht="15.75" customHeight="1">
      <c r="A1946" s="24"/>
      <c r="B1946" s="10"/>
      <c r="C1946" s="10"/>
      <c r="D1946" s="10"/>
      <c r="E1946" s="10"/>
      <c r="F1946" s="10"/>
      <c r="G1946" s="10"/>
    </row>
    <row r="1947" ht="15.75" customHeight="1">
      <c r="A1947" s="24"/>
      <c r="B1947" s="10"/>
      <c r="C1947" s="10"/>
      <c r="D1947" s="10"/>
      <c r="E1947" s="10"/>
      <c r="F1947" s="10"/>
      <c r="G1947" s="10"/>
    </row>
    <row r="1948" ht="15.75" customHeight="1">
      <c r="A1948" s="24"/>
      <c r="B1948" s="10"/>
      <c r="C1948" s="10"/>
      <c r="D1948" s="10"/>
      <c r="E1948" s="10"/>
      <c r="F1948" s="10"/>
      <c r="G1948" s="10"/>
    </row>
    <row r="1949" ht="15.75" customHeight="1">
      <c r="A1949" s="24"/>
      <c r="B1949" s="10"/>
      <c r="C1949" s="10"/>
      <c r="D1949" s="10"/>
      <c r="E1949" s="10"/>
      <c r="F1949" s="10"/>
      <c r="G1949" s="10"/>
    </row>
    <row r="1950" ht="15.75" customHeight="1">
      <c r="A1950" s="24"/>
      <c r="B1950" s="10"/>
      <c r="C1950" s="10"/>
      <c r="D1950" s="10"/>
      <c r="E1950" s="10"/>
      <c r="F1950" s="10"/>
      <c r="G1950" s="10"/>
    </row>
    <row r="1951" ht="15.75" customHeight="1">
      <c r="A1951" s="24"/>
      <c r="B1951" s="10"/>
      <c r="C1951" s="10"/>
      <c r="D1951" s="10"/>
      <c r="E1951" s="10"/>
      <c r="F1951" s="10"/>
      <c r="G1951" s="10"/>
    </row>
    <row r="1952" ht="15.75" customHeight="1">
      <c r="A1952" s="24"/>
      <c r="B1952" s="10"/>
      <c r="C1952" s="10"/>
      <c r="D1952" s="10"/>
      <c r="E1952" s="10"/>
      <c r="F1952" s="10"/>
      <c r="G1952" s="10"/>
    </row>
    <row r="1953" ht="15.75" customHeight="1">
      <c r="A1953" s="24"/>
      <c r="B1953" s="10"/>
      <c r="C1953" s="10"/>
      <c r="D1953" s="10"/>
      <c r="E1953" s="10"/>
      <c r="F1953" s="10"/>
      <c r="G1953" s="10"/>
    </row>
    <row r="1954" ht="15.75" customHeight="1">
      <c r="A1954" s="24"/>
      <c r="B1954" s="10"/>
      <c r="C1954" s="10"/>
      <c r="D1954" s="10"/>
      <c r="E1954" s="10"/>
      <c r="F1954" s="10"/>
      <c r="G1954" s="10"/>
    </row>
    <row r="1955" ht="15.75" customHeight="1">
      <c r="A1955" s="24"/>
      <c r="B1955" s="10"/>
      <c r="C1955" s="10"/>
      <c r="D1955" s="10"/>
      <c r="E1955" s="10"/>
      <c r="F1955" s="10"/>
      <c r="G1955" s="10"/>
    </row>
    <row r="1956" ht="15.75" customHeight="1">
      <c r="A1956" s="24"/>
      <c r="B1956" s="10"/>
      <c r="C1956" s="10"/>
      <c r="D1956" s="10"/>
      <c r="E1956" s="10"/>
      <c r="F1956" s="10"/>
      <c r="G1956" s="10"/>
    </row>
    <row r="1957" ht="15.75" customHeight="1">
      <c r="A1957" s="24"/>
      <c r="B1957" s="10"/>
      <c r="C1957" s="10"/>
      <c r="D1957" s="10"/>
      <c r="E1957" s="10"/>
      <c r="F1957" s="10"/>
      <c r="G1957" s="10"/>
    </row>
    <row r="1958" ht="15.75" customHeight="1">
      <c r="A1958" s="24"/>
      <c r="B1958" s="10"/>
      <c r="C1958" s="10"/>
      <c r="D1958" s="10"/>
      <c r="E1958" s="10"/>
      <c r="F1958" s="10"/>
      <c r="G1958" s="10"/>
    </row>
    <row r="1959" ht="15.75" customHeight="1">
      <c r="A1959" s="24"/>
      <c r="B1959" s="10"/>
      <c r="C1959" s="10"/>
      <c r="D1959" s="10"/>
      <c r="E1959" s="10"/>
      <c r="F1959" s="10"/>
      <c r="G1959" s="10"/>
    </row>
    <row r="1960" ht="15.75" customHeight="1">
      <c r="A1960" s="24"/>
      <c r="B1960" s="10"/>
      <c r="C1960" s="10"/>
      <c r="D1960" s="10"/>
      <c r="E1960" s="10"/>
      <c r="F1960" s="10"/>
      <c r="G1960" s="10"/>
    </row>
    <row r="1961" ht="15.75" customHeight="1">
      <c r="A1961" s="24"/>
      <c r="B1961" s="10"/>
      <c r="C1961" s="10"/>
      <c r="D1961" s="10"/>
      <c r="E1961" s="10"/>
      <c r="F1961" s="10"/>
      <c r="G1961" s="10"/>
    </row>
    <row r="1962" ht="15.75" customHeight="1">
      <c r="A1962" s="24"/>
      <c r="B1962" s="10"/>
      <c r="C1962" s="10"/>
      <c r="D1962" s="10"/>
      <c r="E1962" s="10"/>
      <c r="F1962" s="10"/>
      <c r="G1962" s="10"/>
    </row>
    <row r="1963" ht="15.75" customHeight="1">
      <c r="A1963" s="24"/>
      <c r="B1963" s="10"/>
      <c r="C1963" s="10"/>
      <c r="D1963" s="10"/>
      <c r="E1963" s="10"/>
      <c r="F1963" s="10"/>
      <c r="G1963" s="10"/>
    </row>
    <row r="1964" ht="15.75" customHeight="1">
      <c r="A1964" s="24"/>
      <c r="B1964" s="10"/>
      <c r="C1964" s="10"/>
      <c r="D1964" s="10"/>
      <c r="E1964" s="10"/>
      <c r="F1964" s="10"/>
      <c r="G1964" s="10"/>
    </row>
    <row r="1965" ht="15.75" customHeight="1">
      <c r="A1965" s="24"/>
      <c r="B1965" s="10"/>
      <c r="C1965" s="10"/>
      <c r="D1965" s="10"/>
      <c r="E1965" s="10"/>
      <c r="F1965" s="10"/>
      <c r="G1965" s="10"/>
    </row>
    <row r="1966" ht="15.75" customHeight="1">
      <c r="A1966" s="24"/>
      <c r="B1966" s="10"/>
      <c r="C1966" s="10"/>
      <c r="D1966" s="10"/>
      <c r="E1966" s="10"/>
      <c r="F1966" s="10"/>
      <c r="G1966" s="10"/>
    </row>
    <row r="1967" ht="15.75" customHeight="1">
      <c r="A1967" s="24"/>
      <c r="B1967" s="10"/>
      <c r="C1967" s="10"/>
      <c r="D1967" s="10"/>
      <c r="E1967" s="10"/>
      <c r="F1967" s="10"/>
      <c r="G1967" s="10"/>
    </row>
    <row r="1968" ht="15.75" customHeight="1">
      <c r="A1968" s="24"/>
      <c r="B1968" s="10"/>
      <c r="C1968" s="10"/>
      <c r="D1968" s="10"/>
      <c r="E1968" s="10"/>
      <c r="F1968" s="10"/>
      <c r="G1968" s="10"/>
    </row>
    <row r="1969" ht="15.75" customHeight="1">
      <c r="A1969" s="24"/>
      <c r="B1969" s="10"/>
      <c r="C1969" s="10"/>
      <c r="D1969" s="10"/>
      <c r="E1969" s="10"/>
      <c r="F1969" s="10"/>
      <c r="G1969" s="10"/>
    </row>
    <row r="1970" ht="15.75" customHeight="1">
      <c r="A1970" s="24"/>
      <c r="B1970" s="10"/>
      <c r="C1970" s="10"/>
      <c r="D1970" s="10"/>
      <c r="E1970" s="10"/>
      <c r="F1970" s="10"/>
      <c r="G1970" s="10"/>
    </row>
    <row r="1971" ht="15.75" customHeight="1">
      <c r="A1971" s="24"/>
      <c r="B1971" s="10"/>
      <c r="C1971" s="10"/>
      <c r="D1971" s="10"/>
      <c r="E1971" s="10"/>
      <c r="F1971" s="10"/>
      <c r="G1971" s="10"/>
    </row>
    <row r="1972" ht="15.75" customHeight="1">
      <c r="A1972" s="24"/>
      <c r="B1972" s="10"/>
      <c r="C1972" s="10"/>
      <c r="D1972" s="10"/>
      <c r="E1972" s="10"/>
      <c r="F1972" s="10"/>
      <c r="G1972" s="10"/>
    </row>
    <row r="1973" ht="15.75" customHeight="1">
      <c r="A1973" s="24"/>
      <c r="B1973" s="10"/>
      <c r="C1973" s="10"/>
      <c r="D1973" s="10"/>
      <c r="E1973" s="10"/>
      <c r="F1973" s="10"/>
      <c r="G1973" s="10"/>
    </row>
    <row r="1974" ht="15.75" customHeight="1">
      <c r="A1974" s="24"/>
      <c r="B1974" s="10"/>
      <c r="C1974" s="10"/>
      <c r="D1974" s="10"/>
      <c r="E1974" s="10"/>
      <c r="F1974" s="10"/>
      <c r="G1974" s="10"/>
    </row>
    <row r="1975" ht="15.75" customHeight="1">
      <c r="A1975" s="24"/>
      <c r="B1975" s="10"/>
      <c r="C1975" s="10"/>
      <c r="D1975" s="10"/>
      <c r="E1975" s="10"/>
      <c r="F1975" s="10"/>
      <c r="G1975" s="10"/>
    </row>
    <row r="1976" ht="15.75" customHeight="1">
      <c r="A1976" s="24"/>
      <c r="B1976" s="10"/>
      <c r="C1976" s="10"/>
      <c r="D1976" s="10"/>
      <c r="E1976" s="10"/>
      <c r="F1976" s="10"/>
      <c r="G1976" s="10"/>
    </row>
    <row r="1977" ht="15.75" customHeight="1">
      <c r="A1977" s="24"/>
      <c r="B1977" s="10"/>
      <c r="C1977" s="10"/>
      <c r="D1977" s="10"/>
      <c r="E1977" s="10"/>
      <c r="F1977" s="10"/>
      <c r="G1977" s="10"/>
    </row>
    <row r="1978" ht="15.75" customHeight="1">
      <c r="A1978" s="24"/>
      <c r="B1978" s="10"/>
      <c r="C1978" s="10"/>
      <c r="D1978" s="10"/>
      <c r="E1978" s="10"/>
      <c r="F1978" s="10"/>
      <c r="G1978" s="10"/>
    </row>
    <row r="1979" ht="15.75" customHeight="1">
      <c r="A1979" s="24"/>
      <c r="B1979" s="10"/>
      <c r="C1979" s="10"/>
      <c r="D1979" s="10"/>
      <c r="E1979" s="10"/>
      <c r="F1979" s="10"/>
      <c r="G1979" s="10"/>
    </row>
    <row r="1980" ht="15.75" customHeight="1">
      <c r="A1980" s="24"/>
      <c r="B1980" s="10"/>
      <c r="C1980" s="10"/>
      <c r="D1980" s="10"/>
      <c r="E1980" s="10"/>
      <c r="F1980" s="10"/>
      <c r="G1980" s="10"/>
    </row>
    <row r="1981" ht="15.75" customHeight="1">
      <c r="A1981" s="24"/>
      <c r="B1981" s="10"/>
      <c r="C1981" s="10"/>
      <c r="D1981" s="10"/>
      <c r="E1981" s="10"/>
      <c r="F1981" s="10"/>
      <c r="G1981" s="10"/>
    </row>
    <row r="1982" ht="15.75" customHeight="1">
      <c r="A1982" s="24"/>
      <c r="B1982" s="10"/>
      <c r="C1982" s="10"/>
      <c r="D1982" s="10"/>
      <c r="E1982" s="10"/>
      <c r="F1982" s="10"/>
      <c r="G1982" s="10"/>
    </row>
    <row r="1983" ht="15.75" customHeight="1">
      <c r="A1983" s="24"/>
      <c r="B1983" s="10"/>
      <c r="C1983" s="10"/>
      <c r="D1983" s="10"/>
      <c r="E1983" s="10"/>
      <c r="F1983" s="10"/>
      <c r="G1983" s="10"/>
    </row>
    <row r="1984" ht="15.75" customHeight="1">
      <c r="A1984" s="24"/>
      <c r="B1984" s="10"/>
      <c r="C1984" s="10"/>
      <c r="D1984" s="10"/>
      <c r="E1984" s="10"/>
      <c r="F1984" s="10"/>
      <c r="G1984" s="10"/>
    </row>
    <row r="1985" ht="15.75" customHeight="1">
      <c r="A1985" s="24"/>
      <c r="B1985" s="10"/>
      <c r="C1985" s="10"/>
      <c r="D1985" s="10"/>
      <c r="E1985" s="10"/>
      <c r="F1985" s="10"/>
      <c r="G1985" s="10"/>
    </row>
    <row r="1986" ht="15.75" customHeight="1">
      <c r="A1986" s="24"/>
      <c r="B1986" s="10"/>
      <c r="C1986" s="10"/>
      <c r="D1986" s="10"/>
      <c r="E1986" s="10"/>
      <c r="F1986" s="10"/>
      <c r="G1986" s="10"/>
    </row>
    <row r="1987" ht="15.75" customHeight="1">
      <c r="A1987" s="24"/>
      <c r="B1987" s="10"/>
      <c r="C1987" s="10"/>
      <c r="D1987" s="10"/>
      <c r="E1987" s="10"/>
      <c r="F1987" s="10"/>
      <c r="G1987" s="10"/>
    </row>
    <row r="1988" ht="15.75" customHeight="1">
      <c r="A1988" s="24"/>
      <c r="B1988" s="10"/>
      <c r="C1988" s="10"/>
      <c r="D1988" s="10"/>
      <c r="E1988" s="10"/>
      <c r="F1988" s="10"/>
      <c r="G1988" s="10"/>
    </row>
    <row r="1989" ht="15.75" customHeight="1">
      <c r="A1989" s="24"/>
      <c r="B1989" s="10"/>
      <c r="C1989" s="10"/>
      <c r="D1989" s="10"/>
      <c r="E1989" s="10"/>
      <c r="F1989" s="10"/>
      <c r="G1989" s="10"/>
    </row>
    <row r="1990" ht="15.75" customHeight="1">
      <c r="A1990" s="24"/>
      <c r="B1990" s="10"/>
      <c r="C1990" s="10"/>
      <c r="D1990" s="10"/>
      <c r="E1990" s="10"/>
      <c r="F1990" s="10"/>
      <c r="G1990" s="10"/>
    </row>
    <row r="1991" ht="15.75" customHeight="1">
      <c r="A1991" s="24"/>
      <c r="B1991" s="10"/>
      <c r="C1991" s="10"/>
      <c r="D1991" s="10"/>
      <c r="E1991" s="10"/>
      <c r="F1991" s="10"/>
      <c r="G1991" s="10"/>
    </row>
    <row r="1992" ht="15.75" customHeight="1">
      <c r="A1992" s="24"/>
      <c r="B1992" s="10"/>
      <c r="C1992" s="10"/>
      <c r="D1992" s="10"/>
      <c r="E1992" s="10"/>
      <c r="F1992" s="10"/>
      <c r="G1992" s="10"/>
    </row>
    <row r="1993" ht="15.75" customHeight="1">
      <c r="A1993" s="24"/>
      <c r="B1993" s="10"/>
      <c r="C1993" s="10"/>
      <c r="D1993" s="10"/>
      <c r="E1993" s="10"/>
      <c r="F1993" s="10"/>
      <c r="G1993" s="10"/>
    </row>
    <row r="1994" ht="15.75" customHeight="1">
      <c r="A1994" s="24"/>
      <c r="B1994" s="10"/>
      <c r="C1994" s="10"/>
      <c r="D1994" s="10"/>
      <c r="E1994" s="10"/>
      <c r="F1994" s="10"/>
      <c r="G1994" s="10"/>
    </row>
    <row r="1995" ht="15.75" customHeight="1">
      <c r="A1995" s="24"/>
      <c r="B1995" s="10"/>
      <c r="C1995" s="10"/>
      <c r="D1995" s="10"/>
      <c r="E1995" s="10"/>
      <c r="F1995" s="10"/>
      <c r="G1995" s="10"/>
    </row>
    <row r="1996" ht="15.75" customHeight="1">
      <c r="A1996" s="24"/>
      <c r="B1996" s="10"/>
      <c r="C1996" s="10"/>
      <c r="D1996" s="10"/>
      <c r="E1996" s="10"/>
      <c r="F1996" s="10"/>
      <c r="G1996" s="10"/>
    </row>
    <row r="1997" ht="15.75" customHeight="1">
      <c r="A1997" s="24"/>
      <c r="B1997" s="10"/>
      <c r="C1997" s="10"/>
      <c r="D1997" s="10"/>
      <c r="E1997" s="10"/>
      <c r="F1997" s="10"/>
      <c r="G1997" s="10"/>
    </row>
    <row r="1998" ht="15.75" customHeight="1">
      <c r="A1998" s="24"/>
      <c r="B1998" s="10"/>
      <c r="C1998" s="10"/>
      <c r="D1998" s="10"/>
      <c r="E1998" s="10"/>
      <c r="F1998" s="10"/>
      <c r="G1998" s="10"/>
    </row>
    <row r="1999" ht="15.75" customHeight="1">
      <c r="A1999" s="24"/>
      <c r="B1999" s="10"/>
      <c r="C1999" s="10"/>
      <c r="D1999" s="10"/>
      <c r="E1999" s="10"/>
      <c r="F1999" s="10"/>
      <c r="G1999" s="10"/>
    </row>
    <row r="2000" ht="15.75" customHeight="1">
      <c r="A2000" s="24"/>
      <c r="B2000" s="10"/>
      <c r="C2000" s="10"/>
      <c r="D2000" s="10"/>
      <c r="E2000" s="10"/>
      <c r="F2000" s="10"/>
      <c r="G2000" s="10"/>
    </row>
    <row r="2001" ht="15.75" customHeight="1">
      <c r="A2001" s="24"/>
      <c r="B2001" s="10"/>
      <c r="C2001" s="10"/>
      <c r="D2001" s="10"/>
      <c r="E2001" s="10"/>
      <c r="F2001" s="10"/>
      <c r="G2001" s="10"/>
    </row>
    <row r="2002" ht="15.75" customHeight="1">
      <c r="A2002" s="24"/>
      <c r="B2002" s="10"/>
      <c r="C2002" s="10"/>
      <c r="D2002" s="10"/>
      <c r="E2002" s="10"/>
      <c r="F2002" s="10"/>
      <c r="G2002" s="10"/>
    </row>
    <row r="2003" ht="15.75" customHeight="1">
      <c r="A2003" s="24"/>
      <c r="B2003" s="10"/>
      <c r="C2003" s="10"/>
      <c r="D2003" s="10"/>
      <c r="E2003" s="10"/>
      <c r="F2003" s="10"/>
      <c r="G2003" s="10"/>
    </row>
    <row r="2004" ht="15.75" customHeight="1">
      <c r="A2004" s="24"/>
      <c r="B2004" s="10"/>
      <c r="C2004" s="10"/>
      <c r="D2004" s="10"/>
      <c r="E2004" s="10"/>
      <c r="F2004" s="10"/>
      <c r="G2004" s="10"/>
    </row>
    <row r="2005" ht="15.75" customHeight="1">
      <c r="A2005" s="24"/>
      <c r="B2005" s="10"/>
      <c r="C2005" s="10"/>
      <c r="D2005" s="10"/>
      <c r="E2005" s="10"/>
      <c r="F2005" s="10"/>
      <c r="G2005" s="10"/>
    </row>
    <row r="2006" ht="15.75" customHeight="1">
      <c r="A2006" s="24"/>
      <c r="B2006" s="10"/>
      <c r="C2006" s="10"/>
      <c r="D2006" s="10"/>
      <c r="E2006" s="10"/>
      <c r="F2006" s="10"/>
      <c r="G2006" s="10"/>
    </row>
    <row r="2007" ht="15.75" customHeight="1">
      <c r="A2007" s="24"/>
      <c r="B2007" s="10"/>
      <c r="C2007" s="10"/>
      <c r="D2007" s="10"/>
      <c r="E2007" s="10"/>
      <c r="F2007" s="10"/>
      <c r="G2007" s="10"/>
    </row>
    <row r="2008" ht="15.75" customHeight="1">
      <c r="A2008" s="24"/>
      <c r="B2008" s="10"/>
      <c r="C2008" s="10"/>
      <c r="D2008" s="10"/>
      <c r="E2008" s="10"/>
      <c r="F2008" s="10"/>
      <c r="G2008" s="10"/>
    </row>
    <row r="2009" ht="15.75" customHeight="1">
      <c r="A2009" s="24"/>
      <c r="B2009" s="10"/>
      <c r="C2009" s="10"/>
      <c r="D2009" s="10"/>
      <c r="E2009" s="10"/>
      <c r="F2009" s="10"/>
      <c r="G2009" s="10"/>
    </row>
    <row r="2010" ht="15.75" customHeight="1">
      <c r="A2010" s="24"/>
      <c r="B2010" s="10"/>
      <c r="C2010" s="10"/>
      <c r="D2010" s="10"/>
      <c r="E2010" s="10"/>
      <c r="F2010" s="10"/>
      <c r="G2010" s="10"/>
    </row>
    <row r="2011" ht="15.75" customHeight="1">
      <c r="A2011" s="24"/>
      <c r="B2011" s="10"/>
      <c r="C2011" s="10"/>
      <c r="D2011" s="10"/>
      <c r="E2011" s="10"/>
      <c r="F2011" s="10"/>
      <c r="G2011" s="10"/>
    </row>
    <row r="2012" ht="15.75" customHeight="1">
      <c r="A2012" s="24"/>
      <c r="B2012" s="10"/>
      <c r="C2012" s="10"/>
      <c r="D2012" s="10"/>
      <c r="E2012" s="10"/>
      <c r="F2012" s="10"/>
      <c r="G2012" s="10"/>
    </row>
    <row r="2013" ht="15.75" customHeight="1">
      <c r="A2013" s="24"/>
      <c r="B2013" s="10"/>
      <c r="C2013" s="10"/>
      <c r="D2013" s="10"/>
      <c r="E2013" s="10"/>
      <c r="F2013" s="10"/>
      <c r="G2013" s="10"/>
    </row>
    <row r="2014" ht="15.75" customHeight="1">
      <c r="A2014" s="24"/>
      <c r="B2014" s="10"/>
      <c r="C2014" s="10"/>
      <c r="D2014" s="10"/>
      <c r="E2014" s="10"/>
      <c r="F2014" s="10"/>
      <c r="G2014" s="10"/>
    </row>
    <row r="2015" ht="15.75" customHeight="1">
      <c r="A2015" s="24"/>
      <c r="B2015" s="10"/>
      <c r="C2015" s="10"/>
      <c r="D2015" s="10"/>
      <c r="E2015" s="10"/>
      <c r="F2015" s="10"/>
      <c r="G2015" s="10"/>
    </row>
    <row r="2016" ht="15.75" customHeight="1">
      <c r="A2016" s="24"/>
      <c r="B2016" s="10"/>
      <c r="C2016" s="10"/>
      <c r="D2016" s="10"/>
      <c r="E2016" s="10"/>
      <c r="F2016" s="10"/>
      <c r="G2016" s="10"/>
    </row>
    <row r="2017" ht="15.75" customHeight="1">
      <c r="A2017" s="24"/>
      <c r="B2017" s="10"/>
      <c r="C2017" s="10"/>
      <c r="D2017" s="10"/>
      <c r="E2017" s="10"/>
      <c r="F2017" s="10"/>
      <c r="G2017" s="10"/>
    </row>
    <row r="2018" ht="15.75" customHeight="1">
      <c r="A2018" s="24"/>
      <c r="B2018" s="10"/>
      <c r="C2018" s="10"/>
      <c r="D2018" s="10"/>
      <c r="E2018" s="10"/>
      <c r="F2018" s="10"/>
      <c r="G2018" s="10"/>
    </row>
    <row r="2019" ht="15.75" customHeight="1">
      <c r="A2019" s="24"/>
      <c r="B2019" s="10"/>
      <c r="C2019" s="10"/>
      <c r="D2019" s="10"/>
      <c r="E2019" s="10"/>
      <c r="F2019" s="10"/>
      <c r="G2019" s="10"/>
    </row>
    <row r="2020" ht="15.75" customHeight="1">
      <c r="A2020" s="24"/>
      <c r="B2020" s="10"/>
      <c r="C2020" s="10"/>
      <c r="D2020" s="10"/>
      <c r="E2020" s="10"/>
      <c r="F2020" s="10"/>
      <c r="G2020" s="10"/>
    </row>
    <row r="2021" ht="15.75" customHeight="1">
      <c r="A2021" s="24"/>
      <c r="B2021" s="10"/>
      <c r="C2021" s="10"/>
      <c r="D2021" s="10"/>
      <c r="E2021" s="10"/>
      <c r="F2021" s="10"/>
      <c r="G2021" s="10"/>
    </row>
    <row r="2022" ht="15.75" customHeight="1">
      <c r="A2022" s="24"/>
      <c r="B2022" s="10"/>
      <c r="C2022" s="10"/>
      <c r="D2022" s="10"/>
      <c r="E2022" s="10"/>
      <c r="F2022" s="10"/>
      <c r="G2022" s="10"/>
    </row>
    <row r="2023" ht="15.75" customHeight="1">
      <c r="A2023" s="24"/>
      <c r="B2023" s="10"/>
      <c r="C2023" s="10"/>
      <c r="D2023" s="10"/>
      <c r="E2023" s="10"/>
      <c r="F2023" s="10"/>
      <c r="G2023" s="10"/>
    </row>
    <row r="2024" ht="15.75" customHeight="1">
      <c r="A2024" s="24"/>
      <c r="B2024" s="10"/>
      <c r="C2024" s="10"/>
      <c r="D2024" s="10"/>
      <c r="E2024" s="10"/>
      <c r="F2024" s="10"/>
      <c r="G2024" s="10"/>
    </row>
    <row r="2025" ht="15.75" customHeight="1">
      <c r="A2025" s="24"/>
      <c r="B2025" s="10"/>
      <c r="C2025" s="10"/>
      <c r="D2025" s="10"/>
      <c r="E2025" s="10"/>
      <c r="F2025" s="10"/>
      <c r="G2025" s="10"/>
    </row>
    <row r="2026" ht="15.75" customHeight="1">
      <c r="A2026" s="24"/>
      <c r="B2026" s="10"/>
      <c r="C2026" s="10"/>
      <c r="D2026" s="10"/>
      <c r="E2026" s="10"/>
      <c r="F2026" s="10"/>
      <c r="G2026" s="10"/>
    </row>
    <row r="2027" ht="15.75" customHeight="1">
      <c r="A2027" s="24"/>
      <c r="B2027" s="10"/>
      <c r="C2027" s="10"/>
      <c r="D2027" s="10"/>
      <c r="E2027" s="10"/>
      <c r="F2027" s="10"/>
      <c r="G2027" s="10"/>
    </row>
    <row r="2028" ht="15.75" customHeight="1">
      <c r="A2028" s="24"/>
      <c r="B2028" s="10"/>
      <c r="C2028" s="10"/>
      <c r="D2028" s="10"/>
      <c r="E2028" s="10"/>
      <c r="F2028" s="10"/>
      <c r="G2028" s="10"/>
    </row>
    <row r="2029" ht="15.75" customHeight="1">
      <c r="A2029" s="24"/>
      <c r="B2029" s="10"/>
      <c r="C2029" s="10"/>
      <c r="D2029" s="10"/>
      <c r="E2029" s="10"/>
      <c r="F2029" s="10"/>
      <c r="G2029" s="10"/>
    </row>
    <row r="2030" ht="15.75" customHeight="1">
      <c r="A2030" s="24"/>
      <c r="B2030" s="10"/>
      <c r="C2030" s="10"/>
      <c r="D2030" s="10"/>
      <c r="E2030" s="10"/>
      <c r="F2030" s="10"/>
      <c r="G2030" s="10"/>
    </row>
    <row r="2031" ht="15.75" customHeight="1">
      <c r="A2031" s="24"/>
      <c r="B2031" s="10"/>
      <c r="C2031" s="10"/>
      <c r="D2031" s="10"/>
      <c r="E2031" s="10"/>
      <c r="F2031" s="10"/>
      <c r="G2031" s="10"/>
    </row>
    <row r="2032" ht="15.75" customHeight="1">
      <c r="A2032" s="24"/>
      <c r="B2032" s="10"/>
      <c r="C2032" s="10"/>
      <c r="D2032" s="10"/>
      <c r="E2032" s="10"/>
      <c r="F2032" s="10"/>
      <c r="G2032" s="10"/>
    </row>
    <row r="2033" ht="15.75" customHeight="1">
      <c r="A2033" s="24"/>
      <c r="B2033" s="10"/>
      <c r="C2033" s="10"/>
      <c r="D2033" s="10"/>
      <c r="E2033" s="10"/>
      <c r="F2033" s="10"/>
      <c r="G2033" s="10"/>
    </row>
    <row r="2034" ht="15.75" customHeight="1">
      <c r="A2034" s="24"/>
      <c r="B2034" s="10"/>
      <c r="C2034" s="10"/>
      <c r="D2034" s="10"/>
      <c r="E2034" s="10"/>
      <c r="F2034" s="10"/>
      <c r="G2034" s="10"/>
    </row>
    <row r="2035" ht="15.75" customHeight="1">
      <c r="A2035" s="24"/>
      <c r="B2035" s="10"/>
      <c r="C2035" s="10"/>
      <c r="D2035" s="10"/>
      <c r="E2035" s="10"/>
      <c r="F2035" s="10"/>
      <c r="G2035" s="10"/>
    </row>
    <row r="2036" ht="15.75" customHeight="1">
      <c r="A2036" s="24"/>
      <c r="B2036" s="10"/>
      <c r="C2036" s="10"/>
      <c r="D2036" s="10"/>
      <c r="E2036" s="10"/>
      <c r="F2036" s="10"/>
      <c r="G2036" s="10"/>
    </row>
    <row r="2037" ht="15.75" customHeight="1">
      <c r="A2037" s="24"/>
      <c r="B2037" s="10"/>
      <c r="C2037" s="10"/>
      <c r="D2037" s="10"/>
      <c r="E2037" s="10"/>
      <c r="F2037" s="10"/>
      <c r="G2037" s="10"/>
    </row>
    <row r="2038" ht="15.75" customHeight="1">
      <c r="A2038" s="24"/>
      <c r="B2038" s="10"/>
      <c r="C2038" s="10"/>
      <c r="D2038" s="10"/>
      <c r="E2038" s="10"/>
      <c r="F2038" s="10"/>
      <c r="G2038" s="10"/>
    </row>
    <row r="2039" ht="15.75" customHeight="1">
      <c r="A2039" s="24"/>
      <c r="B2039" s="10"/>
      <c r="C2039" s="10"/>
      <c r="D2039" s="10"/>
      <c r="E2039" s="10"/>
      <c r="F2039" s="10"/>
      <c r="G2039" s="10"/>
    </row>
    <row r="2040" ht="15.75" customHeight="1">
      <c r="A2040" s="24"/>
      <c r="B2040" s="10"/>
      <c r="C2040" s="10"/>
      <c r="D2040" s="10"/>
      <c r="E2040" s="10"/>
      <c r="F2040" s="10"/>
      <c r="G2040" s="10"/>
    </row>
    <row r="2041" ht="15.75" customHeight="1">
      <c r="A2041" s="24"/>
      <c r="B2041" s="10"/>
      <c r="C2041" s="10"/>
      <c r="D2041" s="10"/>
      <c r="E2041" s="10"/>
      <c r="F2041" s="10"/>
      <c r="G2041" s="10"/>
    </row>
    <row r="2042" ht="15.75" customHeight="1">
      <c r="A2042" s="24"/>
      <c r="B2042" s="10"/>
      <c r="C2042" s="10"/>
      <c r="D2042" s="10"/>
      <c r="E2042" s="10"/>
      <c r="F2042" s="10"/>
      <c r="G2042" s="10"/>
    </row>
    <row r="2043" ht="15.75" customHeight="1">
      <c r="A2043" s="24"/>
      <c r="B2043" s="10"/>
      <c r="C2043" s="10"/>
      <c r="D2043" s="10"/>
      <c r="E2043" s="10"/>
      <c r="F2043" s="10"/>
      <c r="G2043" s="10"/>
    </row>
    <row r="2044" ht="15.75" customHeight="1">
      <c r="A2044" s="24"/>
      <c r="B2044" s="10"/>
      <c r="C2044" s="10"/>
      <c r="D2044" s="10"/>
      <c r="E2044" s="10"/>
      <c r="F2044" s="10"/>
      <c r="G2044" s="10"/>
    </row>
    <row r="2045" ht="15.75" customHeight="1">
      <c r="A2045" s="24"/>
      <c r="B2045" s="10"/>
      <c r="C2045" s="10"/>
      <c r="D2045" s="10"/>
      <c r="E2045" s="10"/>
      <c r="F2045" s="10"/>
      <c r="G2045" s="10"/>
    </row>
    <row r="2046" ht="15.75" customHeight="1">
      <c r="A2046" s="24"/>
      <c r="B2046" s="10"/>
      <c r="C2046" s="10"/>
      <c r="D2046" s="10"/>
      <c r="E2046" s="10"/>
      <c r="F2046" s="10"/>
      <c r="G2046" s="10"/>
    </row>
    <row r="2047" ht="15.75" customHeight="1">
      <c r="A2047" s="24"/>
      <c r="B2047" s="10"/>
      <c r="C2047" s="10"/>
      <c r="D2047" s="10"/>
      <c r="E2047" s="10"/>
      <c r="F2047" s="10"/>
      <c r="G2047" s="10"/>
    </row>
    <row r="2048" ht="15.75" customHeight="1">
      <c r="A2048" s="24"/>
      <c r="B2048" s="10"/>
      <c r="C2048" s="10"/>
      <c r="D2048" s="10"/>
      <c r="E2048" s="10"/>
      <c r="F2048" s="10"/>
      <c r="G2048" s="10"/>
    </row>
    <row r="2049" ht="15.75" customHeight="1">
      <c r="A2049" s="24"/>
      <c r="B2049" s="10"/>
      <c r="C2049" s="10"/>
      <c r="D2049" s="10"/>
      <c r="E2049" s="10"/>
      <c r="F2049" s="10"/>
      <c r="G2049" s="10"/>
    </row>
    <row r="2050" ht="15.75" customHeight="1">
      <c r="A2050" s="24"/>
      <c r="B2050" s="10"/>
      <c r="C2050" s="10"/>
      <c r="D2050" s="10"/>
      <c r="E2050" s="10"/>
      <c r="F2050" s="10"/>
      <c r="G2050" s="10"/>
    </row>
    <row r="2051" ht="15.75" customHeight="1">
      <c r="A2051" s="24"/>
      <c r="B2051" s="10"/>
      <c r="C2051" s="10"/>
      <c r="D2051" s="10"/>
      <c r="E2051" s="10"/>
      <c r="F2051" s="10"/>
      <c r="G2051" s="10"/>
    </row>
    <row r="2052" ht="15.75" customHeight="1">
      <c r="A2052" s="24"/>
      <c r="B2052" s="10"/>
      <c r="C2052" s="10"/>
      <c r="D2052" s="10"/>
      <c r="E2052" s="10"/>
      <c r="F2052" s="10"/>
      <c r="G2052" s="10"/>
    </row>
    <row r="2053" ht="15.75" customHeight="1">
      <c r="A2053" s="24"/>
      <c r="B2053" s="10"/>
      <c r="C2053" s="10"/>
      <c r="D2053" s="10"/>
      <c r="E2053" s="10"/>
      <c r="F2053" s="10"/>
      <c r="G2053" s="10"/>
    </row>
    <row r="2054" ht="15.75" customHeight="1">
      <c r="A2054" s="24"/>
      <c r="B2054" s="10"/>
      <c r="C2054" s="10"/>
      <c r="D2054" s="10"/>
      <c r="E2054" s="10"/>
      <c r="F2054" s="10"/>
      <c r="G2054" s="10"/>
    </row>
    <row r="2055" ht="15.75" customHeight="1">
      <c r="A2055" s="24"/>
      <c r="B2055" s="10"/>
      <c r="C2055" s="10"/>
      <c r="D2055" s="10"/>
      <c r="E2055" s="10"/>
      <c r="F2055" s="10"/>
      <c r="G2055" s="10"/>
    </row>
    <row r="2056" ht="15.75" customHeight="1">
      <c r="A2056" s="24"/>
      <c r="B2056" s="10"/>
      <c r="C2056" s="10"/>
      <c r="D2056" s="10"/>
      <c r="E2056" s="10"/>
      <c r="F2056" s="10"/>
      <c r="G2056" s="10"/>
    </row>
    <row r="2057" ht="15.75" customHeight="1">
      <c r="A2057" s="24"/>
      <c r="B2057" s="10"/>
      <c r="C2057" s="10"/>
      <c r="D2057" s="10"/>
      <c r="E2057" s="10"/>
      <c r="F2057" s="10"/>
      <c r="G2057" s="10"/>
    </row>
    <row r="2058" ht="15.75" customHeight="1">
      <c r="A2058" s="24"/>
      <c r="B2058" s="10"/>
      <c r="C2058" s="10"/>
      <c r="D2058" s="10"/>
      <c r="E2058" s="10"/>
      <c r="F2058" s="10"/>
      <c r="G2058" s="10"/>
    </row>
    <row r="2059" ht="15.75" customHeight="1">
      <c r="A2059" s="24"/>
      <c r="B2059" s="10"/>
      <c r="C2059" s="10"/>
      <c r="D2059" s="10"/>
      <c r="E2059" s="10"/>
      <c r="F2059" s="10"/>
      <c r="G2059" s="10"/>
    </row>
    <row r="2060" ht="15.75" customHeight="1">
      <c r="A2060" s="24"/>
      <c r="B2060" s="10"/>
      <c r="C2060" s="10"/>
      <c r="D2060" s="10"/>
      <c r="E2060" s="10"/>
      <c r="F2060" s="10"/>
      <c r="G2060" s="10"/>
    </row>
    <row r="2061" ht="15.75" customHeight="1">
      <c r="A2061" s="24"/>
      <c r="B2061" s="10"/>
      <c r="C2061" s="10"/>
      <c r="D2061" s="10"/>
      <c r="E2061" s="10"/>
      <c r="F2061" s="10"/>
      <c r="G2061" s="10"/>
    </row>
    <row r="2062" ht="15.75" customHeight="1">
      <c r="A2062" s="24"/>
      <c r="B2062" s="10"/>
      <c r="C2062" s="10"/>
      <c r="D2062" s="10"/>
      <c r="E2062" s="10"/>
      <c r="F2062" s="10"/>
      <c r="G2062" s="10"/>
    </row>
    <row r="2063" ht="15.75" customHeight="1">
      <c r="A2063" s="24"/>
      <c r="B2063" s="10"/>
      <c r="C2063" s="10"/>
      <c r="D2063" s="10"/>
      <c r="E2063" s="10"/>
      <c r="F2063" s="10"/>
      <c r="G2063" s="10"/>
    </row>
    <row r="2064" ht="15.75" customHeight="1">
      <c r="A2064" s="24"/>
      <c r="B2064" s="10"/>
      <c r="C2064" s="10"/>
      <c r="D2064" s="10"/>
      <c r="E2064" s="10"/>
      <c r="F2064" s="10"/>
      <c r="G2064" s="10"/>
    </row>
    <row r="2065" ht="15.75" customHeight="1">
      <c r="A2065" s="24"/>
      <c r="B2065" s="10"/>
      <c r="C2065" s="10"/>
      <c r="D2065" s="10"/>
      <c r="E2065" s="10"/>
      <c r="F2065" s="10"/>
      <c r="G2065" s="10"/>
    </row>
    <row r="2066" ht="15.75" customHeight="1">
      <c r="A2066" s="24"/>
      <c r="B2066" s="10"/>
      <c r="C2066" s="10"/>
      <c r="D2066" s="10"/>
      <c r="E2066" s="10"/>
      <c r="F2066" s="10"/>
      <c r="G2066" s="10"/>
    </row>
    <row r="2067" ht="15.75" customHeight="1">
      <c r="A2067" s="24"/>
      <c r="B2067" s="10"/>
      <c r="C2067" s="10"/>
      <c r="D2067" s="10"/>
      <c r="E2067" s="10"/>
      <c r="F2067" s="10"/>
      <c r="G2067" s="10"/>
    </row>
    <row r="2068" ht="15.75" customHeight="1">
      <c r="A2068" s="24"/>
      <c r="B2068" s="10"/>
      <c r="C2068" s="10"/>
      <c r="D2068" s="10"/>
      <c r="E2068" s="10"/>
      <c r="F2068" s="10"/>
      <c r="G2068" s="10"/>
    </row>
    <row r="2069" ht="15.75" customHeight="1">
      <c r="A2069" s="24"/>
      <c r="B2069" s="10"/>
      <c r="C2069" s="10"/>
      <c r="D2069" s="10"/>
      <c r="E2069" s="10"/>
      <c r="F2069" s="10"/>
      <c r="G2069" s="10"/>
    </row>
    <row r="2070" ht="15.75" customHeight="1">
      <c r="A2070" s="24"/>
      <c r="B2070" s="10"/>
      <c r="C2070" s="10"/>
      <c r="D2070" s="10"/>
      <c r="E2070" s="10"/>
      <c r="F2070" s="10"/>
      <c r="G2070" s="10"/>
    </row>
    <row r="2071" ht="15.75" customHeight="1">
      <c r="A2071" s="24"/>
      <c r="B2071" s="10"/>
      <c r="C2071" s="10"/>
      <c r="D2071" s="10"/>
      <c r="E2071" s="10"/>
      <c r="F2071" s="10"/>
      <c r="G2071" s="10"/>
    </row>
    <row r="2072" ht="15.75" customHeight="1">
      <c r="A2072" s="24"/>
      <c r="B2072" s="10"/>
      <c r="C2072" s="10"/>
      <c r="D2072" s="10"/>
      <c r="E2072" s="10"/>
      <c r="F2072" s="10"/>
      <c r="G2072" s="10"/>
    </row>
    <row r="2073" ht="15.75" customHeight="1">
      <c r="A2073" s="24"/>
      <c r="B2073" s="10"/>
      <c r="C2073" s="10"/>
      <c r="D2073" s="10"/>
      <c r="E2073" s="10"/>
      <c r="F2073" s="10"/>
      <c r="G2073" s="10"/>
    </row>
    <row r="2074" ht="15.75" customHeight="1">
      <c r="A2074" s="24"/>
      <c r="B2074" s="10"/>
      <c r="C2074" s="10"/>
      <c r="D2074" s="10"/>
      <c r="E2074" s="10"/>
      <c r="F2074" s="10"/>
      <c r="G2074" s="10"/>
    </row>
    <row r="2075" ht="15.75" customHeight="1">
      <c r="A2075" s="24"/>
      <c r="B2075" s="10"/>
      <c r="C2075" s="10"/>
      <c r="D2075" s="10"/>
      <c r="E2075" s="10"/>
      <c r="F2075" s="10"/>
      <c r="G2075" s="10"/>
    </row>
    <row r="2076" ht="15.75" customHeight="1">
      <c r="A2076" s="24"/>
      <c r="B2076" s="10"/>
      <c r="C2076" s="10"/>
      <c r="D2076" s="10"/>
      <c r="E2076" s="10"/>
      <c r="F2076" s="10"/>
      <c r="G2076" s="10"/>
    </row>
    <row r="2077" ht="15.75" customHeight="1">
      <c r="A2077" s="24"/>
      <c r="B2077" s="10"/>
      <c r="C2077" s="10"/>
      <c r="D2077" s="10"/>
      <c r="E2077" s="10"/>
      <c r="F2077" s="10"/>
      <c r="G2077" s="10"/>
    </row>
    <row r="2078" ht="15.75" customHeight="1">
      <c r="A2078" s="24"/>
      <c r="B2078" s="10"/>
      <c r="C2078" s="10"/>
      <c r="D2078" s="10"/>
      <c r="E2078" s="10"/>
      <c r="F2078" s="10"/>
      <c r="G2078" s="10"/>
    </row>
    <row r="2079" ht="15.75" customHeight="1">
      <c r="A2079" s="24"/>
      <c r="B2079" s="10"/>
      <c r="C2079" s="10"/>
      <c r="D2079" s="10"/>
      <c r="E2079" s="10"/>
      <c r="F2079" s="10"/>
      <c r="G2079" s="10"/>
    </row>
    <row r="2080" ht="15.75" customHeight="1">
      <c r="A2080" s="24"/>
      <c r="B2080" s="10"/>
      <c r="C2080" s="10"/>
      <c r="D2080" s="10"/>
      <c r="E2080" s="10"/>
      <c r="F2080" s="10"/>
      <c r="G2080" s="10"/>
    </row>
    <row r="2081" ht="15.75" customHeight="1">
      <c r="A2081" s="24"/>
      <c r="B2081" s="10"/>
      <c r="C2081" s="10"/>
      <c r="D2081" s="10"/>
      <c r="E2081" s="10"/>
      <c r="F2081" s="10"/>
      <c r="G2081" s="10"/>
    </row>
    <row r="2082" ht="15.75" customHeight="1">
      <c r="A2082" s="24"/>
      <c r="B2082" s="10"/>
      <c r="C2082" s="10"/>
      <c r="D2082" s="10"/>
      <c r="E2082" s="10"/>
      <c r="F2082" s="10"/>
      <c r="G2082" s="10"/>
    </row>
    <row r="2083" ht="15.75" customHeight="1">
      <c r="A2083" s="24"/>
      <c r="B2083" s="10"/>
      <c r="C2083" s="10"/>
      <c r="D2083" s="10"/>
      <c r="E2083" s="10"/>
      <c r="F2083" s="10"/>
      <c r="G2083" s="10"/>
    </row>
    <row r="2084" ht="15.75" customHeight="1">
      <c r="A2084" s="24"/>
      <c r="B2084" s="10"/>
      <c r="C2084" s="10"/>
      <c r="D2084" s="10"/>
      <c r="E2084" s="10"/>
      <c r="F2084" s="10"/>
      <c r="G2084" s="10"/>
    </row>
    <row r="2085" ht="15.75" customHeight="1">
      <c r="A2085" s="24"/>
      <c r="B2085" s="10"/>
      <c r="C2085" s="10"/>
      <c r="D2085" s="10"/>
      <c r="E2085" s="10"/>
      <c r="F2085" s="10"/>
      <c r="G2085" s="10"/>
    </row>
    <row r="2086" ht="15.75" customHeight="1">
      <c r="A2086" s="24"/>
      <c r="B2086" s="10"/>
      <c r="C2086" s="10"/>
      <c r="D2086" s="10"/>
      <c r="E2086" s="10"/>
      <c r="F2086" s="10"/>
      <c r="G2086" s="10"/>
    </row>
    <row r="2087" ht="15.75" customHeight="1">
      <c r="A2087" s="24"/>
      <c r="B2087" s="10"/>
      <c r="C2087" s="10"/>
      <c r="D2087" s="10"/>
      <c r="E2087" s="10"/>
      <c r="F2087" s="10"/>
      <c r="G2087" s="10"/>
    </row>
    <row r="2088" ht="15.75" customHeight="1">
      <c r="A2088" s="24"/>
      <c r="B2088" s="10"/>
      <c r="C2088" s="10"/>
      <c r="D2088" s="10"/>
      <c r="E2088" s="10"/>
      <c r="F2088" s="10"/>
      <c r="G2088" s="10"/>
    </row>
    <row r="2089" ht="15.75" customHeight="1">
      <c r="A2089" s="24"/>
      <c r="B2089" s="10"/>
      <c r="C2089" s="10"/>
      <c r="D2089" s="10"/>
      <c r="E2089" s="10"/>
      <c r="F2089" s="10"/>
      <c r="G2089" s="10"/>
    </row>
    <row r="2090" ht="15.75" customHeight="1">
      <c r="A2090" s="24"/>
      <c r="B2090" s="10"/>
      <c r="C2090" s="10"/>
      <c r="D2090" s="10"/>
      <c r="E2090" s="10"/>
      <c r="F2090" s="10"/>
      <c r="G2090" s="10"/>
    </row>
    <row r="2091" ht="15.75" customHeight="1">
      <c r="A2091" s="24"/>
      <c r="B2091" s="10"/>
      <c r="C2091" s="10"/>
      <c r="D2091" s="10"/>
      <c r="E2091" s="10"/>
      <c r="F2091" s="10"/>
      <c r="G2091" s="10"/>
    </row>
    <row r="2092" ht="15.75" customHeight="1">
      <c r="A2092" s="24"/>
      <c r="B2092" s="10"/>
      <c r="C2092" s="10"/>
      <c r="D2092" s="10"/>
      <c r="E2092" s="10"/>
      <c r="F2092" s="10"/>
      <c r="G2092" s="10"/>
    </row>
    <row r="2093" ht="15.75" customHeight="1">
      <c r="A2093" s="24"/>
      <c r="B2093" s="10"/>
      <c r="C2093" s="10"/>
      <c r="D2093" s="10"/>
      <c r="E2093" s="10"/>
      <c r="F2093" s="10"/>
      <c r="G2093" s="10"/>
    </row>
    <row r="2094" ht="15.75" customHeight="1">
      <c r="A2094" s="24"/>
      <c r="B2094" s="10"/>
      <c r="C2094" s="10"/>
      <c r="D2094" s="10"/>
      <c r="E2094" s="10"/>
      <c r="F2094" s="10"/>
      <c r="G2094" s="10"/>
    </row>
    <row r="2095" ht="15.75" customHeight="1">
      <c r="A2095" s="24"/>
      <c r="B2095" s="10"/>
      <c r="C2095" s="10"/>
      <c r="D2095" s="10"/>
      <c r="E2095" s="10"/>
      <c r="F2095" s="10"/>
      <c r="G2095" s="10"/>
    </row>
    <row r="2096" ht="15.75" customHeight="1">
      <c r="A2096" s="24"/>
      <c r="B2096" s="10"/>
      <c r="C2096" s="10"/>
      <c r="D2096" s="10"/>
      <c r="E2096" s="10"/>
      <c r="F2096" s="10"/>
      <c r="G2096" s="10"/>
    </row>
    <row r="2097" ht="15.75" customHeight="1">
      <c r="A2097" s="24"/>
      <c r="B2097" s="10"/>
      <c r="C2097" s="10"/>
      <c r="D2097" s="10"/>
      <c r="E2097" s="10"/>
      <c r="F2097" s="10"/>
      <c r="G2097" s="10"/>
    </row>
    <row r="2098" ht="15.75" customHeight="1">
      <c r="A2098" s="24"/>
      <c r="B2098" s="10"/>
      <c r="C2098" s="10"/>
      <c r="D2098" s="10"/>
      <c r="E2098" s="10"/>
      <c r="F2098" s="10"/>
      <c r="G2098" s="10"/>
    </row>
    <row r="2099" ht="15.75" customHeight="1">
      <c r="A2099" s="24"/>
      <c r="B2099" s="10"/>
      <c r="C2099" s="10"/>
      <c r="D2099" s="10"/>
      <c r="E2099" s="10"/>
      <c r="F2099" s="10"/>
      <c r="G2099" s="10"/>
    </row>
    <row r="2100" ht="15.75" customHeight="1">
      <c r="A2100" s="24"/>
      <c r="B2100" s="10"/>
      <c r="C2100" s="10"/>
      <c r="D2100" s="10"/>
      <c r="E2100" s="10"/>
      <c r="F2100" s="10"/>
      <c r="G2100" s="10"/>
    </row>
    <row r="2101" ht="15.75" customHeight="1">
      <c r="A2101" s="24"/>
      <c r="B2101" s="10"/>
      <c r="C2101" s="10"/>
      <c r="D2101" s="10"/>
      <c r="E2101" s="10"/>
      <c r="F2101" s="10"/>
      <c r="G2101" s="10"/>
    </row>
    <row r="2102" ht="15.75" customHeight="1">
      <c r="A2102" s="24"/>
      <c r="B2102" s="10"/>
      <c r="C2102" s="10"/>
      <c r="D2102" s="10"/>
      <c r="E2102" s="10"/>
      <c r="F2102" s="10"/>
      <c r="G2102" s="10"/>
    </row>
    <row r="2103" ht="15.75" customHeight="1">
      <c r="A2103" s="24"/>
      <c r="B2103" s="10"/>
      <c r="C2103" s="10"/>
      <c r="D2103" s="10"/>
      <c r="E2103" s="10"/>
      <c r="F2103" s="10"/>
      <c r="G2103" s="10"/>
    </row>
    <row r="2104" ht="15.75" customHeight="1">
      <c r="A2104" s="24"/>
      <c r="B2104" s="10"/>
      <c r="C2104" s="10"/>
      <c r="D2104" s="10"/>
      <c r="E2104" s="10"/>
      <c r="F2104" s="10"/>
      <c r="G2104" s="10"/>
    </row>
    <row r="2105" ht="15.75" customHeight="1">
      <c r="A2105" s="24"/>
      <c r="B2105" s="10"/>
      <c r="C2105" s="10"/>
      <c r="D2105" s="10"/>
      <c r="E2105" s="10"/>
      <c r="F2105" s="10"/>
      <c r="G2105" s="10"/>
    </row>
    <row r="2106" ht="15.75" customHeight="1">
      <c r="A2106" s="24"/>
      <c r="B2106" s="10"/>
      <c r="C2106" s="10"/>
      <c r="D2106" s="10"/>
      <c r="E2106" s="10"/>
      <c r="F2106" s="10"/>
      <c r="G2106" s="10"/>
    </row>
    <row r="2107" ht="15.75" customHeight="1">
      <c r="A2107" s="24"/>
      <c r="B2107" s="10"/>
      <c r="C2107" s="10"/>
      <c r="D2107" s="10"/>
      <c r="E2107" s="10"/>
      <c r="F2107" s="10"/>
      <c r="G2107" s="10"/>
    </row>
    <row r="2108" ht="15.75" customHeight="1">
      <c r="A2108" s="24"/>
      <c r="B2108" s="10"/>
      <c r="C2108" s="10"/>
      <c r="D2108" s="10"/>
      <c r="E2108" s="10"/>
      <c r="F2108" s="10"/>
      <c r="G2108" s="10"/>
    </row>
    <row r="2109" ht="15.75" customHeight="1">
      <c r="A2109" s="24"/>
      <c r="B2109" s="10"/>
      <c r="C2109" s="10"/>
      <c r="D2109" s="10"/>
      <c r="E2109" s="10"/>
      <c r="F2109" s="10"/>
      <c r="G2109" s="10"/>
    </row>
    <row r="2110" ht="15.75" customHeight="1">
      <c r="A2110" s="24"/>
      <c r="B2110" s="10"/>
      <c r="C2110" s="10"/>
      <c r="D2110" s="10"/>
      <c r="E2110" s="10"/>
      <c r="F2110" s="10"/>
      <c r="G2110" s="10"/>
    </row>
    <row r="2111" ht="15.75" customHeight="1">
      <c r="A2111" s="24"/>
      <c r="B2111" s="10"/>
      <c r="C2111" s="10"/>
      <c r="D2111" s="10"/>
      <c r="E2111" s="10"/>
      <c r="F2111" s="10"/>
      <c r="G2111" s="10"/>
    </row>
    <row r="2112" ht="15.75" customHeight="1">
      <c r="A2112" s="24"/>
      <c r="B2112" s="10"/>
      <c r="C2112" s="10"/>
      <c r="D2112" s="10"/>
      <c r="E2112" s="10"/>
      <c r="F2112" s="10"/>
      <c r="G2112" s="10"/>
    </row>
    <row r="2113" ht="15.75" customHeight="1">
      <c r="A2113" s="24"/>
      <c r="B2113" s="10"/>
      <c r="C2113" s="10"/>
      <c r="D2113" s="10"/>
      <c r="E2113" s="10"/>
      <c r="F2113" s="10"/>
      <c r="G2113" s="10"/>
    </row>
    <row r="2114" ht="15.75" customHeight="1">
      <c r="A2114" s="24"/>
      <c r="B2114" s="10"/>
      <c r="C2114" s="10"/>
      <c r="D2114" s="10"/>
      <c r="E2114" s="10"/>
      <c r="F2114" s="10"/>
      <c r="G2114" s="10"/>
    </row>
    <row r="2115" ht="15.75" customHeight="1">
      <c r="A2115" s="24"/>
      <c r="B2115" s="10"/>
      <c r="C2115" s="10"/>
      <c r="D2115" s="10"/>
      <c r="E2115" s="10"/>
      <c r="F2115" s="10"/>
      <c r="G2115" s="10"/>
    </row>
    <row r="2116" ht="15.75" customHeight="1">
      <c r="A2116" s="24"/>
      <c r="B2116" s="10"/>
      <c r="C2116" s="10"/>
      <c r="D2116" s="10"/>
      <c r="E2116" s="10"/>
      <c r="F2116" s="10"/>
      <c r="G2116" s="10"/>
    </row>
    <row r="2117" ht="15.75" customHeight="1">
      <c r="A2117" s="24"/>
      <c r="B2117" s="10"/>
      <c r="C2117" s="10"/>
      <c r="D2117" s="10"/>
      <c r="E2117" s="10"/>
      <c r="F2117" s="10"/>
      <c r="G2117" s="10"/>
    </row>
    <row r="2118" ht="15.75" customHeight="1">
      <c r="A2118" s="24"/>
      <c r="B2118" s="10"/>
      <c r="C2118" s="10"/>
      <c r="D2118" s="10"/>
      <c r="E2118" s="10"/>
      <c r="F2118" s="10"/>
      <c r="G2118" s="10"/>
    </row>
    <row r="2119" ht="15.75" customHeight="1">
      <c r="A2119" s="24"/>
      <c r="B2119" s="10"/>
      <c r="C2119" s="10"/>
      <c r="D2119" s="10"/>
      <c r="E2119" s="10"/>
      <c r="F2119" s="10"/>
      <c r="G2119" s="10"/>
    </row>
    <row r="2120" ht="15.75" customHeight="1">
      <c r="A2120" s="24"/>
      <c r="B2120" s="10"/>
      <c r="C2120" s="10"/>
      <c r="D2120" s="10"/>
      <c r="E2120" s="10"/>
      <c r="F2120" s="10"/>
      <c r="G2120" s="10"/>
    </row>
    <row r="2121" ht="15.75" customHeight="1">
      <c r="A2121" s="24"/>
      <c r="B2121" s="10"/>
      <c r="C2121" s="10"/>
      <c r="D2121" s="10"/>
      <c r="E2121" s="10"/>
      <c r="F2121" s="10"/>
      <c r="G2121" s="10"/>
    </row>
    <row r="2122" ht="15.75" customHeight="1">
      <c r="A2122" s="24"/>
      <c r="B2122" s="10"/>
      <c r="C2122" s="10"/>
      <c r="D2122" s="10"/>
      <c r="E2122" s="10"/>
      <c r="F2122" s="10"/>
      <c r="G2122" s="10"/>
    </row>
    <row r="2123" ht="15.75" customHeight="1">
      <c r="A2123" s="24"/>
      <c r="B2123" s="10"/>
      <c r="C2123" s="10"/>
      <c r="D2123" s="10"/>
      <c r="E2123" s="10"/>
      <c r="F2123" s="10"/>
      <c r="G2123" s="10"/>
    </row>
    <row r="2124" ht="15.75" customHeight="1">
      <c r="A2124" s="24"/>
      <c r="B2124" s="10"/>
      <c r="C2124" s="10"/>
      <c r="D2124" s="10"/>
      <c r="E2124" s="10"/>
      <c r="F2124" s="10"/>
      <c r="G2124" s="10"/>
    </row>
    <row r="2125" ht="15.75" customHeight="1">
      <c r="A2125" s="24"/>
      <c r="B2125" s="10"/>
      <c r="C2125" s="10"/>
      <c r="D2125" s="10"/>
      <c r="E2125" s="10"/>
      <c r="F2125" s="10"/>
      <c r="G2125" s="10"/>
    </row>
    <row r="2126" ht="15.75" customHeight="1">
      <c r="A2126" s="24"/>
      <c r="B2126" s="10"/>
      <c r="C2126" s="10"/>
      <c r="D2126" s="10"/>
      <c r="E2126" s="10"/>
      <c r="F2126" s="10"/>
      <c r="G2126" s="10"/>
    </row>
    <row r="2127" ht="15.75" customHeight="1">
      <c r="A2127" s="24"/>
      <c r="B2127" s="10"/>
      <c r="C2127" s="10"/>
      <c r="D2127" s="10"/>
      <c r="E2127" s="10"/>
      <c r="F2127" s="10"/>
      <c r="G2127" s="10"/>
    </row>
    <row r="2128" ht="15.75" customHeight="1">
      <c r="A2128" s="24"/>
      <c r="B2128" s="10"/>
      <c r="C2128" s="10"/>
      <c r="D2128" s="10"/>
      <c r="E2128" s="10"/>
      <c r="F2128" s="10"/>
      <c r="G2128" s="10"/>
    </row>
    <row r="2129" ht="15.75" customHeight="1">
      <c r="A2129" s="24"/>
      <c r="B2129" s="10"/>
      <c r="C2129" s="10"/>
      <c r="D2129" s="10"/>
      <c r="E2129" s="10"/>
      <c r="F2129" s="10"/>
      <c r="G2129" s="10"/>
    </row>
    <row r="2130" ht="15.75" customHeight="1">
      <c r="A2130" s="24"/>
      <c r="B2130" s="10"/>
      <c r="C2130" s="10"/>
      <c r="D2130" s="10"/>
      <c r="E2130" s="10"/>
      <c r="F2130" s="10"/>
      <c r="G2130" s="10"/>
    </row>
    <row r="2131" ht="15.75" customHeight="1">
      <c r="A2131" s="24"/>
      <c r="B2131" s="10"/>
      <c r="C2131" s="10"/>
      <c r="D2131" s="10"/>
      <c r="E2131" s="10"/>
      <c r="F2131" s="10"/>
      <c r="G2131" s="10"/>
    </row>
    <row r="2132" ht="15.75" customHeight="1">
      <c r="A2132" s="24"/>
      <c r="B2132" s="10"/>
      <c r="C2132" s="10"/>
      <c r="D2132" s="10"/>
      <c r="E2132" s="10"/>
      <c r="F2132" s="10"/>
      <c r="G2132" s="10"/>
    </row>
    <row r="2133" ht="15.75" customHeight="1">
      <c r="A2133" s="24"/>
      <c r="B2133" s="10"/>
      <c r="C2133" s="10"/>
      <c r="D2133" s="10"/>
      <c r="E2133" s="10"/>
      <c r="F2133" s="10"/>
      <c r="G2133" s="10"/>
    </row>
    <row r="2134" ht="15.75" customHeight="1">
      <c r="A2134" s="24"/>
      <c r="B2134" s="10"/>
      <c r="C2134" s="10"/>
      <c r="D2134" s="10"/>
      <c r="E2134" s="10"/>
      <c r="F2134" s="10"/>
      <c r="G2134" s="10"/>
    </row>
    <row r="2135" ht="15.75" customHeight="1">
      <c r="A2135" s="24"/>
      <c r="B2135" s="10"/>
      <c r="C2135" s="10"/>
      <c r="D2135" s="10"/>
      <c r="E2135" s="10"/>
      <c r="F2135" s="10"/>
      <c r="G2135" s="10"/>
    </row>
    <row r="2136" ht="15.75" customHeight="1">
      <c r="A2136" s="24"/>
      <c r="B2136" s="10"/>
      <c r="C2136" s="10"/>
      <c r="D2136" s="10"/>
      <c r="E2136" s="10"/>
      <c r="F2136" s="10"/>
      <c r="G2136" s="10"/>
    </row>
    <row r="2137" ht="15.75" customHeight="1">
      <c r="A2137" s="24"/>
      <c r="B2137" s="10"/>
      <c r="C2137" s="10"/>
      <c r="D2137" s="10"/>
      <c r="E2137" s="10"/>
      <c r="F2137" s="10"/>
      <c r="G2137" s="10"/>
    </row>
    <row r="2138" ht="15.75" customHeight="1">
      <c r="A2138" s="24"/>
      <c r="B2138" s="10"/>
      <c r="C2138" s="10"/>
      <c r="D2138" s="10"/>
      <c r="E2138" s="10"/>
      <c r="F2138" s="10"/>
      <c r="G2138" s="10"/>
    </row>
    <row r="2139" ht="15.75" customHeight="1">
      <c r="A2139" s="24"/>
      <c r="B2139" s="10"/>
      <c r="C2139" s="10"/>
      <c r="D2139" s="10"/>
      <c r="E2139" s="10"/>
      <c r="F2139" s="10"/>
      <c r="G2139" s="10"/>
    </row>
    <row r="2140" ht="15.75" customHeight="1">
      <c r="A2140" s="24"/>
      <c r="B2140" s="10"/>
      <c r="C2140" s="10"/>
      <c r="D2140" s="10"/>
      <c r="E2140" s="10"/>
      <c r="F2140" s="10"/>
      <c r="G2140" s="10"/>
    </row>
    <row r="2141" ht="15.75" customHeight="1">
      <c r="A2141" s="24"/>
      <c r="B2141" s="10"/>
      <c r="C2141" s="10"/>
      <c r="D2141" s="10"/>
      <c r="E2141" s="10"/>
      <c r="F2141" s="10"/>
      <c r="G2141" s="10"/>
    </row>
    <row r="2142" ht="15.75" customHeight="1">
      <c r="A2142" s="24"/>
      <c r="B2142" s="10"/>
      <c r="C2142" s="10"/>
      <c r="D2142" s="10"/>
      <c r="E2142" s="10"/>
      <c r="F2142" s="10"/>
      <c r="G2142" s="10"/>
    </row>
    <row r="2143" ht="15.75" customHeight="1">
      <c r="A2143" s="24"/>
      <c r="B2143" s="10"/>
      <c r="C2143" s="10"/>
      <c r="D2143" s="10"/>
      <c r="E2143" s="10"/>
      <c r="F2143" s="10"/>
      <c r="G2143" s="10"/>
    </row>
    <row r="2144" ht="15.75" customHeight="1">
      <c r="A2144" s="24"/>
      <c r="B2144" s="10"/>
      <c r="C2144" s="10"/>
      <c r="D2144" s="10"/>
      <c r="E2144" s="10"/>
      <c r="F2144" s="10"/>
      <c r="G2144" s="10"/>
    </row>
    <row r="2145" ht="15.75" customHeight="1">
      <c r="A2145" s="24"/>
      <c r="B2145" s="10"/>
      <c r="C2145" s="10"/>
      <c r="D2145" s="10"/>
      <c r="E2145" s="10"/>
      <c r="F2145" s="10"/>
      <c r="G2145" s="10"/>
    </row>
    <row r="2146" ht="15.75" customHeight="1">
      <c r="A2146" s="24"/>
      <c r="B2146" s="10"/>
      <c r="C2146" s="10"/>
      <c r="D2146" s="10"/>
      <c r="E2146" s="10"/>
      <c r="F2146" s="10"/>
      <c r="G2146" s="10"/>
    </row>
    <row r="2147" ht="15.75" customHeight="1">
      <c r="A2147" s="24"/>
      <c r="B2147" s="10"/>
      <c r="C2147" s="10"/>
      <c r="D2147" s="10"/>
      <c r="E2147" s="10"/>
      <c r="F2147" s="10"/>
      <c r="G2147" s="10"/>
    </row>
    <row r="2148" ht="15.75" customHeight="1">
      <c r="A2148" s="24"/>
      <c r="B2148" s="10"/>
      <c r="C2148" s="10"/>
      <c r="D2148" s="10"/>
      <c r="E2148" s="10"/>
      <c r="F2148" s="10"/>
      <c r="G2148" s="10"/>
    </row>
    <row r="2149" ht="15.75" customHeight="1">
      <c r="A2149" s="24"/>
      <c r="B2149" s="10"/>
      <c r="C2149" s="10"/>
      <c r="D2149" s="10"/>
      <c r="E2149" s="10"/>
      <c r="F2149" s="10"/>
      <c r="G2149" s="10"/>
    </row>
    <row r="2150" ht="15.75" customHeight="1">
      <c r="A2150" s="24"/>
      <c r="B2150" s="10"/>
      <c r="C2150" s="10"/>
      <c r="D2150" s="10"/>
      <c r="E2150" s="10"/>
      <c r="F2150" s="10"/>
      <c r="G2150" s="10"/>
    </row>
    <row r="2151" ht="15.75" customHeight="1">
      <c r="A2151" s="24"/>
      <c r="B2151" s="10"/>
      <c r="C2151" s="10"/>
      <c r="D2151" s="10"/>
      <c r="E2151" s="10"/>
      <c r="F2151" s="10"/>
      <c r="G2151" s="10"/>
    </row>
    <row r="2152" ht="15.75" customHeight="1">
      <c r="A2152" s="24"/>
      <c r="B2152" s="10"/>
      <c r="C2152" s="10"/>
      <c r="D2152" s="10"/>
      <c r="E2152" s="10"/>
      <c r="F2152" s="10"/>
      <c r="G2152" s="10"/>
    </row>
    <row r="2153" ht="15.75" customHeight="1">
      <c r="A2153" s="24"/>
      <c r="B2153" s="10"/>
      <c r="C2153" s="10"/>
      <c r="D2153" s="10"/>
      <c r="E2153" s="10"/>
      <c r="F2153" s="10"/>
      <c r="G2153" s="10"/>
    </row>
    <row r="2154" ht="15.75" customHeight="1">
      <c r="A2154" s="24"/>
      <c r="B2154" s="10"/>
      <c r="C2154" s="10"/>
      <c r="D2154" s="10"/>
      <c r="E2154" s="10"/>
      <c r="F2154" s="10"/>
      <c r="G2154" s="10"/>
    </row>
    <row r="2155" ht="15.75" customHeight="1">
      <c r="A2155" s="24"/>
      <c r="B2155" s="10"/>
      <c r="C2155" s="10"/>
      <c r="D2155" s="10"/>
      <c r="E2155" s="10"/>
      <c r="F2155" s="10"/>
      <c r="G2155" s="10"/>
    </row>
    <row r="2156" ht="15.75" customHeight="1">
      <c r="A2156" s="24"/>
      <c r="B2156" s="10"/>
      <c r="C2156" s="10"/>
      <c r="D2156" s="10"/>
      <c r="E2156" s="10"/>
      <c r="F2156" s="10"/>
      <c r="G2156" s="10"/>
    </row>
    <row r="2157" ht="15.75" customHeight="1">
      <c r="A2157" s="24"/>
      <c r="B2157" s="10"/>
      <c r="C2157" s="10"/>
      <c r="D2157" s="10"/>
      <c r="E2157" s="10"/>
      <c r="F2157" s="10"/>
      <c r="G2157" s="10"/>
    </row>
    <row r="2158" ht="15.75" customHeight="1">
      <c r="A2158" s="24"/>
      <c r="B2158" s="10"/>
      <c r="C2158" s="10"/>
      <c r="D2158" s="10"/>
      <c r="E2158" s="10"/>
      <c r="F2158" s="10"/>
      <c r="G2158" s="10"/>
    </row>
    <row r="2159" ht="15.75" customHeight="1">
      <c r="A2159" s="24"/>
      <c r="B2159" s="10"/>
      <c r="C2159" s="10"/>
      <c r="D2159" s="10"/>
      <c r="E2159" s="10"/>
      <c r="F2159" s="10"/>
      <c r="G2159" s="10"/>
    </row>
    <row r="2160" ht="15.75" customHeight="1">
      <c r="A2160" s="24"/>
      <c r="B2160" s="10"/>
      <c r="C2160" s="10"/>
      <c r="D2160" s="10"/>
      <c r="E2160" s="10"/>
      <c r="F2160" s="10"/>
      <c r="G2160" s="10"/>
    </row>
    <row r="2161" ht="15.75" customHeight="1">
      <c r="A2161" s="24"/>
      <c r="B2161" s="10"/>
      <c r="C2161" s="10"/>
      <c r="D2161" s="10"/>
      <c r="E2161" s="10"/>
      <c r="F2161" s="10"/>
      <c r="G2161" s="10"/>
    </row>
    <row r="2162" ht="15.75" customHeight="1">
      <c r="A2162" s="24"/>
      <c r="B2162" s="10"/>
      <c r="C2162" s="10"/>
      <c r="D2162" s="10"/>
      <c r="E2162" s="10"/>
      <c r="F2162" s="10"/>
      <c r="G2162" s="10"/>
    </row>
    <row r="2163" ht="15.75" customHeight="1">
      <c r="A2163" s="24"/>
      <c r="B2163" s="10"/>
      <c r="C2163" s="10"/>
      <c r="D2163" s="10"/>
      <c r="E2163" s="10"/>
      <c r="F2163" s="10"/>
      <c r="G2163" s="10"/>
    </row>
    <row r="2164" ht="15.75" customHeight="1">
      <c r="A2164" s="24"/>
      <c r="B2164" s="10"/>
      <c r="C2164" s="10"/>
      <c r="D2164" s="10"/>
      <c r="E2164" s="10"/>
      <c r="F2164" s="10"/>
      <c r="G2164" s="10"/>
    </row>
    <row r="2165" ht="15.75" customHeight="1">
      <c r="A2165" s="24"/>
      <c r="B2165" s="10"/>
      <c r="C2165" s="10"/>
      <c r="D2165" s="10"/>
      <c r="E2165" s="10"/>
      <c r="F2165" s="10"/>
      <c r="G2165" s="10"/>
    </row>
    <row r="2166" ht="15.75" customHeight="1">
      <c r="A2166" s="24"/>
      <c r="B2166" s="10"/>
      <c r="C2166" s="10"/>
      <c r="D2166" s="10"/>
      <c r="E2166" s="10"/>
      <c r="F2166" s="10"/>
      <c r="G2166" s="10"/>
    </row>
    <row r="2167" ht="15.75" customHeight="1">
      <c r="A2167" s="24"/>
      <c r="B2167" s="10"/>
      <c r="C2167" s="10"/>
      <c r="D2167" s="10"/>
      <c r="E2167" s="10"/>
      <c r="F2167" s="10"/>
      <c r="G2167" s="10"/>
    </row>
    <row r="2168" ht="15.75" customHeight="1">
      <c r="A2168" s="24"/>
      <c r="B2168" s="10"/>
      <c r="C2168" s="10"/>
      <c r="D2168" s="10"/>
      <c r="E2168" s="10"/>
      <c r="F2168" s="10"/>
      <c r="G2168" s="10"/>
    </row>
    <row r="2169" ht="15.75" customHeight="1">
      <c r="A2169" s="24"/>
      <c r="B2169" s="10"/>
      <c r="C2169" s="10"/>
      <c r="D2169" s="10"/>
      <c r="E2169" s="10"/>
      <c r="F2169" s="10"/>
      <c r="G2169" s="10"/>
    </row>
    <row r="2170" ht="15.75" customHeight="1">
      <c r="A2170" s="24"/>
      <c r="B2170" s="10"/>
      <c r="C2170" s="10"/>
      <c r="D2170" s="10"/>
      <c r="E2170" s="10"/>
      <c r="F2170" s="10"/>
      <c r="G2170" s="10"/>
    </row>
    <row r="2171" ht="15.75" customHeight="1">
      <c r="A2171" s="24"/>
      <c r="B2171" s="10"/>
      <c r="C2171" s="10"/>
      <c r="D2171" s="10"/>
      <c r="E2171" s="10"/>
      <c r="F2171" s="10"/>
      <c r="G2171" s="10"/>
    </row>
    <row r="2172" ht="15.75" customHeight="1">
      <c r="A2172" s="24"/>
      <c r="B2172" s="10"/>
      <c r="C2172" s="10"/>
      <c r="D2172" s="10"/>
      <c r="E2172" s="10"/>
      <c r="F2172" s="10"/>
      <c r="G2172" s="10"/>
    </row>
    <row r="2173" ht="15.75" customHeight="1">
      <c r="A2173" s="24"/>
      <c r="B2173" s="10"/>
      <c r="C2173" s="10"/>
      <c r="D2173" s="10"/>
      <c r="E2173" s="10"/>
      <c r="F2173" s="10"/>
      <c r="G2173" s="10"/>
    </row>
    <row r="2174" ht="15.75" customHeight="1">
      <c r="A2174" s="24"/>
      <c r="B2174" s="10"/>
      <c r="C2174" s="10"/>
      <c r="D2174" s="10"/>
      <c r="E2174" s="10"/>
      <c r="F2174" s="10"/>
      <c r="G2174" s="10"/>
    </row>
    <row r="2175" ht="15.75" customHeight="1">
      <c r="A2175" s="24"/>
      <c r="B2175" s="10"/>
      <c r="C2175" s="10"/>
      <c r="D2175" s="10"/>
      <c r="E2175" s="10"/>
      <c r="F2175" s="10"/>
      <c r="G2175" s="10"/>
    </row>
    <row r="2176" ht="15.75" customHeight="1">
      <c r="A2176" s="24"/>
      <c r="B2176" s="10"/>
      <c r="C2176" s="10"/>
      <c r="D2176" s="10"/>
      <c r="E2176" s="10"/>
      <c r="F2176" s="10"/>
      <c r="G2176" s="10"/>
    </row>
    <row r="2177" ht="15.75" customHeight="1">
      <c r="A2177" s="24"/>
      <c r="B2177" s="10"/>
      <c r="C2177" s="10"/>
      <c r="D2177" s="10"/>
      <c r="E2177" s="10"/>
      <c r="F2177" s="10"/>
      <c r="G2177" s="10"/>
    </row>
    <row r="2178" ht="15.75" customHeight="1">
      <c r="A2178" s="24"/>
      <c r="B2178" s="10"/>
      <c r="C2178" s="10"/>
      <c r="D2178" s="10"/>
      <c r="E2178" s="10"/>
      <c r="F2178" s="10"/>
      <c r="G2178" s="10"/>
    </row>
    <row r="2179" ht="15.75" customHeight="1">
      <c r="A2179" s="24"/>
      <c r="B2179" s="10"/>
      <c r="C2179" s="10"/>
      <c r="D2179" s="10"/>
      <c r="E2179" s="10"/>
      <c r="F2179" s="10"/>
      <c r="G2179" s="10"/>
    </row>
    <row r="2180" ht="15.75" customHeight="1">
      <c r="A2180" s="24"/>
      <c r="B2180" s="10"/>
      <c r="C2180" s="10"/>
      <c r="D2180" s="10"/>
      <c r="E2180" s="10"/>
      <c r="F2180" s="10"/>
      <c r="G2180" s="10"/>
    </row>
    <row r="2181" ht="15.75" customHeight="1">
      <c r="A2181" s="24"/>
      <c r="B2181" s="10"/>
      <c r="C2181" s="10"/>
      <c r="D2181" s="10"/>
      <c r="E2181" s="10"/>
      <c r="F2181" s="10"/>
      <c r="G2181" s="10"/>
    </row>
    <row r="2182" ht="15.75" customHeight="1">
      <c r="A2182" s="24"/>
      <c r="B2182" s="10"/>
      <c r="C2182" s="10"/>
      <c r="D2182" s="10"/>
      <c r="E2182" s="10"/>
      <c r="F2182" s="10"/>
      <c r="G2182" s="10"/>
    </row>
    <row r="2183" ht="15.75" customHeight="1">
      <c r="A2183" s="24"/>
      <c r="B2183" s="10"/>
      <c r="C2183" s="10"/>
      <c r="D2183" s="10"/>
      <c r="E2183" s="10"/>
      <c r="F2183" s="10"/>
      <c r="G2183" s="10"/>
    </row>
    <row r="2184" ht="15.75" customHeight="1">
      <c r="A2184" s="24"/>
      <c r="B2184" s="10"/>
      <c r="C2184" s="10"/>
      <c r="D2184" s="10"/>
      <c r="E2184" s="10"/>
      <c r="F2184" s="10"/>
      <c r="G2184" s="10"/>
    </row>
    <row r="2185" ht="15.75" customHeight="1">
      <c r="A2185" s="24"/>
      <c r="B2185" s="10"/>
      <c r="C2185" s="10"/>
      <c r="D2185" s="10"/>
      <c r="E2185" s="10"/>
      <c r="F2185" s="10"/>
      <c r="G2185" s="10"/>
    </row>
    <row r="2186" ht="15.75" customHeight="1">
      <c r="A2186" s="24"/>
      <c r="B2186" s="10"/>
      <c r="C2186" s="10"/>
      <c r="D2186" s="10"/>
      <c r="E2186" s="10"/>
      <c r="F2186" s="10"/>
      <c r="G2186" s="10"/>
    </row>
    <row r="2187" ht="15.75" customHeight="1">
      <c r="A2187" s="24"/>
      <c r="B2187" s="10"/>
      <c r="C2187" s="10"/>
      <c r="D2187" s="10"/>
      <c r="E2187" s="10"/>
      <c r="F2187" s="10"/>
      <c r="G2187" s="10"/>
    </row>
    <row r="2188" ht="15.75" customHeight="1">
      <c r="A2188" s="24"/>
      <c r="B2188" s="10"/>
      <c r="C2188" s="10"/>
      <c r="D2188" s="10"/>
      <c r="E2188" s="10"/>
      <c r="F2188" s="10"/>
      <c r="G2188" s="10"/>
    </row>
    <row r="2189" ht="15.75" customHeight="1">
      <c r="A2189" s="24"/>
      <c r="B2189" s="10"/>
      <c r="C2189" s="10"/>
      <c r="D2189" s="10"/>
      <c r="E2189" s="10"/>
      <c r="F2189" s="10"/>
      <c r="G2189" s="10"/>
    </row>
    <row r="2190" ht="15.75" customHeight="1">
      <c r="A2190" s="24"/>
      <c r="B2190" s="10"/>
      <c r="C2190" s="10"/>
      <c r="D2190" s="10"/>
      <c r="E2190" s="10"/>
      <c r="F2190" s="10"/>
      <c r="G2190" s="10"/>
    </row>
    <row r="2191" ht="15.75" customHeight="1">
      <c r="A2191" s="24"/>
      <c r="B2191" s="10"/>
      <c r="C2191" s="10"/>
      <c r="D2191" s="10"/>
      <c r="E2191" s="10"/>
      <c r="F2191" s="10"/>
      <c r="G2191" s="10"/>
    </row>
    <row r="2192" ht="15.75" customHeight="1">
      <c r="A2192" s="24"/>
      <c r="B2192" s="10"/>
      <c r="C2192" s="10"/>
      <c r="D2192" s="10"/>
      <c r="E2192" s="10"/>
      <c r="F2192" s="10"/>
      <c r="G2192" s="10"/>
    </row>
    <row r="2193" ht="15.75" customHeight="1">
      <c r="A2193" s="24"/>
      <c r="B2193" s="10"/>
      <c r="C2193" s="10"/>
      <c r="D2193" s="10"/>
      <c r="E2193" s="10"/>
      <c r="F2193" s="10"/>
      <c r="G2193" s="10"/>
    </row>
    <row r="2194" ht="15.75" customHeight="1">
      <c r="A2194" s="24"/>
      <c r="B2194" s="10"/>
      <c r="C2194" s="10"/>
      <c r="D2194" s="10"/>
      <c r="E2194" s="10"/>
      <c r="F2194" s="10"/>
      <c r="G2194" s="10"/>
    </row>
    <row r="2195" ht="15.75" customHeight="1">
      <c r="A2195" s="24"/>
      <c r="B2195" s="10"/>
      <c r="C2195" s="10"/>
      <c r="D2195" s="10"/>
      <c r="E2195" s="10"/>
      <c r="F2195" s="10"/>
      <c r="G2195" s="10"/>
    </row>
    <row r="2196" ht="15.75" customHeight="1">
      <c r="A2196" s="24"/>
      <c r="B2196" s="10"/>
      <c r="C2196" s="10"/>
      <c r="D2196" s="10"/>
      <c r="E2196" s="10"/>
      <c r="F2196" s="10"/>
      <c r="G2196" s="10"/>
    </row>
    <row r="2197" ht="15.75" customHeight="1">
      <c r="A2197" s="24"/>
      <c r="B2197" s="10"/>
      <c r="C2197" s="10"/>
      <c r="D2197" s="10"/>
      <c r="E2197" s="10"/>
      <c r="F2197" s="10"/>
      <c r="G2197" s="10"/>
    </row>
    <row r="2198" ht="15.75" customHeight="1">
      <c r="A2198" s="24"/>
      <c r="B2198" s="10"/>
      <c r="C2198" s="10"/>
      <c r="D2198" s="10"/>
      <c r="E2198" s="10"/>
      <c r="F2198" s="10"/>
      <c r="G2198" s="10"/>
    </row>
    <row r="2199" ht="15.75" customHeight="1">
      <c r="A2199" s="24"/>
      <c r="B2199" s="10"/>
      <c r="C2199" s="10"/>
      <c r="D2199" s="10"/>
      <c r="E2199" s="10"/>
      <c r="F2199" s="10"/>
      <c r="G2199" s="10"/>
    </row>
    <row r="2200" ht="15.75" customHeight="1">
      <c r="A2200" s="24"/>
      <c r="B2200" s="10"/>
      <c r="C2200" s="10"/>
      <c r="D2200" s="10"/>
      <c r="E2200" s="10"/>
      <c r="F2200" s="10"/>
      <c r="G2200" s="10"/>
    </row>
    <row r="2201" ht="15.75" customHeight="1">
      <c r="A2201" s="24"/>
      <c r="B2201" s="10"/>
      <c r="C2201" s="10"/>
      <c r="D2201" s="10"/>
      <c r="E2201" s="10"/>
      <c r="F2201" s="10"/>
      <c r="G2201" s="10"/>
    </row>
    <row r="2202" ht="15.75" customHeight="1">
      <c r="A2202" s="24"/>
      <c r="B2202" s="10"/>
      <c r="C2202" s="10"/>
      <c r="D2202" s="10"/>
      <c r="E2202" s="10"/>
      <c r="F2202" s="10"/>
      <c r="G2202" s="10"/>
    </row>
    <row r="2203" ht="15.75" customHeight="1">
      <c r="A2203" s="24"/>
      <c r="B2203" s="10"/>
      <c r="C2203" s="10"/>
      <c r="D2203" s="10"/>
      <c r="E2203" s="10"/>
      <c r="F2203" s="10"/>
      <c r="G2203" s="10"/>
    </row>
    <row r="2204" ht="15.75" customHeight="1">
      <c r="A2204" s="24"/>
      <c r="B2204" s="10"/>
      <c r="C2204" s="10"/>
      <c r="D2204" s="10"/>
      <c r="E2204" s="10"/>
      <c r="F2204" s="10"/>
      <c r="G2204" s="10"/>
    </row>
    <row r="2205" ht="15.75" customHeight="1">
      <c r="A2205" s="24"/>
      <c r="B2205" s="10"/>
      <c r="C2205" s="10"/>
      <c r="D2205" s="10"/>
      <c r="E2205" s="10"/>
      <c r="F2205" s="10"/>
      <c r="G2205" s="10"/>
    </row>
    <row r="2206" ht="15.75" customHeight="1">
      <c r="A2206" s="24"/>
      <c r="B2206" s="10"/>
      <c r="C2206" s="10"/>
      <c r="D2206" s="10"/>
      <c r="E2206" s="10"/>
      <c r="F2206" s="10"/>
      <c r="G2206" s="10"/>
    </row>
    <row r="2207" ht="15.75" customHeight="1">
      <c r="A2207" s="24"/>
      <c r="B2207" s="10"/>
      <c r="C2207" s="10"/>
      <c r="D2207" s="10"/>
      <c r="E2207" s="10"/>
      <c r="F2207" s="10"/>
      <c r="G2207" s="10"/>
    </row>
    <row r="2208" ht="15.75" customHeight="1">
      <c r="A2208" s="24"/>
      <c r="B2208" s="10"/>
      <c r="C2208" s="10"/>
      <c r="D2208" s="10"/>
      <c r="E2208" s="10"/>
      <c r="F2208" s="10"/>
      <c r="G2208" s="10"/>
    </row>
    <row r="2209" ht="15.75" customHeight="1">
      <c r="A2209" s="24"/>
      <c r="B2209" s="10"/>
      <c r="C2209" s="10"/>
      <c r="D2209" s="10"/>
      <c r="E2209" s="10"/>
      <c r="F2209" s="10"/>
      <c r="G2209" s="10"/>
    </row>
    <row r="2210" ht="15.75" customHeight="1">
      <c r="A2210" s="24"/>
      <c r="B2210" s="10"/>
      <c r="C2210" s="10"/>
      <c r="D2210" s="10"/>
      <c r="E2210" s="10"/>
      <c r="F2210" s="10"/>
      <c r="G2210" s="10"/>
    </row>
    <row r="2211" ht="15.75" customHeight="1">
      <c r="A2211" s="24"/>
      <c r="B2211" s="10"/>
      <c r="C2211" s="10"/>
      <c r="D2211" s="10"/>
      <c r="E2211" s="10"/>
      <c r="F2211" s="10"/>
      <c r="G2211" s="10"/>
    </row>
    <row r="2212" ht="15.75" customHeight="1">
      <c r="A2212" s="24"/>
      <c r="B2212" s="10"/>
      <c r="C2212" s="10"/>
      <c r="D2212" s="10"/>
      <c r="E2212" s="10"/>
      <c r="F2212" s="10"/>
      <c r="G2212" s="10"/>
    </row>
    <row r="2213" ht="15.75" customHeight="1">
      <c r="A2213" s="24"/>
      <c r="B2213" s="10"/>
      <c r="C2213" s="10"/>
      <c r="D2213" s="10"/>
      <c r="E2213" s="10"/>
      <c r="F2213" s="10"/>
      <c r="G2213" s="10"/>
    </row>
    <row r="2214" ht="15.75" customHeight="1">
      <c r="A2214" s="24"/>
      <c r="B2214" s="10"/>
      <c r="C2214" s="10"/>
      <c r="D2214" s="10"/>
      <c r="E2214" s="10"/>
      <c r="F2214" s="10"/>
      <c r="G2214" s="10"/>
    </row>
    <row r="2215" ht="15.75" customHeight="1">
      <c r="A2215" s="24"/>
      <c r="B2215" s="10"/>
      <c r="C2215" s="10"/>
      <c r="D2215" s="10"/>
      <c r="E2215" s="10"/>
      <c r="F2215" s="10"/>
      <c r="G2215" s="10"/>
    </row>
    <row r="2216" ht="15.75" customHeight="1">
      <c r="A2216" s="24"/>
      <c r="B2216" s="10"/>
      <c r="C2216" s="10"/>
      <c r="D2216" s="10"/>
      <c r="E2216" s="10"/>
      <c r="F2216" s="10"/>
      <c r="G2216" s="10"/>
    </row>
    <row r="2217" ht="15.75" customHeight="1">
      <c r="A2217" s="24"/>
      <c r="B2217" s="10"/>
      <c r="C2217" s="10"/>
      <c r="D2217" s="10"/>
      <c r="E2217" s="10"/>
      <c r="F2217" s="10"/>
      <c r="G2217" s="10"/>
    </row>
    <row r="2218" ht="15.75" customHeight="1">
      <c r="A2218" s="24"/>
      <c r="B2218" s="10"/>
      <c r="C2218" s="10"/>
      <c r="D2218" s="10"/>
      <c r="E2218" s="10"/>
      <c r="F2218" s="10"/>
      <c r="G2218" s="10"/>
    </row>
    <row r="2219" ht="15.75" customHeight="1">
      <c r="A2219" s="24"/>
      <c r="B2219" s="10"/>
      <c r="C2219" s="10"/>
      <c r="D2219" s="10"/>
      <c r="E2219" s="10"/>
      <c r="F2219" s="10"/>
      <c r="G2219" s="10"/>
    </row>
    <row r="2220" ht="15.75" customHeight="1">
      <c r="A2220" s="24"/>
      <c r="B2220" s="10"/>
      <c r="C2220" s="10"/>
      <c r="D2220" s="10"/>
      <c r="E2220" s="10"/>
      <c r="F2220" s="10"/>
      <c r="G2220" s="10"/>
    </row>
    <row r="2221" ht="15.75" customHeight="1">
      <c r="A2221" s="24"/>
      <c r="B2221" s="10"/>
      <c r="C2221" s="10"/>
      <c r="D2221" s="10"/>
      <c r="E2221" s="10"/>
      <c r="F2221" s="10"/>
      <c r="G2221" s="10"/>
    </row>
    <row r="2222" ht="15.75" customHeight="1">
      <c r="A2222" s="24"/>
      <c r="B2222" s="10"/>
      <c r="C2222" s="10"/>
      <c r="D2222" s="10"/>
      <c r="E2222" s="10"/>
      <c r="F2222" s="10"/>
      <c r="G2222" s="10"/>
    </row>
    <row r="2223" ht="15.75" customHeight="1">
      <c r="A2223" s="24"/>
      <c r="B2223" s="10"/>
      <c r="C2223" s="10"/>
      <c r="D2223" s="10"/>
      <c r="E2223" s="10"/>
      <c r="F2223" s="10"/>
      <c r="G2223" s="10"/>
    </row>
    <row r="2224" ht="15.75" customHeight="1">
      <c r="A2224" s="24"/>
      <c r="B2224" s="10"/>
      <c r="C2224" s="10"/>
      <c r="D2224" s="10"/>
      <c r="E2224" s="10"/>
      <c r="F2224" s="10"/>
      <c r="G2224" s="10"/>
    </row>
    <row r="2225" ht="15.75" customHeight="1">
      <c r="A2225" s="24"/>
      <c r="B2225" s="10"/>
      <c r="C2225" s="10"/>
      <c r="D2225" s="10"/>
      <c r="E2225" s="10"/>
      <c r="F2225" s="10"/>
      <c r="G2225" s="10"/>
    </row>
    <row r="2226" ht="15.75" customHeight="1">
      <c r="A2226" s="24"/>
      <c r="B2226" s="10"/>
      <c r="C2226" s="10"/>
      <c r="D2226" s="10"/>
      <c r="E2226" s="10"/>
      <c r="F2226" s="10"/>
      <c r="G2226" s="10"/>
    </row>
    <row r="2227" ht="15.75" customHeight="1">
      <c r="A2227" s="24"/>
      <c r="B2227" s="10"/>
      <c r="C2227" s="10"/>
      <c r="D2227" s="10"/>
      <c r="E2227" s="10"/>
      <c r="F2227" s="10"/>
      <c r="G2227" s="10"/>
    </row>
    <row r="2228" ht="15.75" customHeight="1">
      <c r="A2228" s="24"/>
      <c r="B2228" s="10"/>
      <c r="C2228" s="10"/>
      <c r="D2228" s="10"/>
      <c r="E2228" s="10"/>
      <c r="F2228" s="10"/>
      <c r="G2228" s="10"/>
    </row>
    <row r="2229" ht="15.75" customHeight="1">
      <c r="A2229" s="24"/>
      <c r="B2229" s="10"/>
      <c r="C2229" s="10"/>
      <c r="D2229" s="10"/>
      <c r="E2229" s="10"/>
      <c r="F2229" s="10"/>
      <c r="G2229" s="10"/>
    </row>
    <row r="2230" ht="15.75" customHeight="1">
      <c r="A2230" s="24"/>
      <c r="B2230" s="10"/>
      <c r="C2230" s="10"/>
      <c r="D2230" s="10"/>
      <c r="E2230" s="10"/>
      <c r="F2230" s="10"/>
      <c r="G2230" s="10"/>
    </row>
    <row r="2231" ht="15.75" customHeight="1">
      <c r="A2231" s="24"/>
      <c r="B2231" s="10"/>
      <c r="C2231" s="10"/>
      <c r="D2231" s="10"/>
      <c r="E2231" s="10"/>
      <c r="F2231" s="10"/>
      <c r="G2231" s="10"/>
    </row>
    <row r="2232" ht="15.75" customHeight="1">
      <c r="A2232" s="24"/>
      <c r="B2232" s="10"/>
      <c r="C2232" s="10"/>
      <c r="D2232" s="10"/>
      <c r="E2232" s="10"/>
      <c r="F2232" s="10"/>
      <c r="G2232" s="10"/>
    </row>
    <row r="2233" ht="15.75" customHeight="1">
      <c r="A2233" s="24"/>
      <c r="B2233" s="10"/>
      <c r="C2233" s="10"/>
      <c r="D2233" s="10"/>
      <c r="E2233" s="10"/>
      <c r="F2233" s="10"/>
      <c r="G2233" s="10"/>
    </row>
    <row r="2234" ht="15.75" customHeight="1">
      <c r="A2234" s="24"/>
      <c r="B2234" s="10"/>
      <c r="C2234" s="10"/>
      <c r="D2234" s="10"/>
      <c r="E2234" s="10"/>
      <c r="F2234" s="10"/>
      <c r="G2234" s="10"/>
    </row>
    <row r="2235" ht="15.75" customHeight="1">
      <c r="A2235" s="24"/>
      <c r="B2235" s="10"/>
      <c r="C2235" s="10"/>
      <c r="D2235" s="10"/>
      <c r="E2235" s="10"/>
      <c r="F2235" s="10"/>
      <c r="G2235" s="10"/>
    </row>
    <row r="2236" ht="15.75" customHeight="1">
      <c r="A2236" s="24"/>
      <c r="B2236" s="10"/>
      <c r="C2236" s="10"/>
      <c r="D2236" s="10"/>
      <c r="E2236" s="10"/>
      <c r="F2236" s="10"/>
      <c r="G2236" s="10"/>
    </row>
    <row r="2237" ht="15.75" customHeight="1">
      <c r="A2237" s="24"/>
      <c r="B2237" s="10"/>
      <c r="C2237" s="10"/>
      <c r="D2237" s="10"/>
      <c r="E2237" s="10"/>
      <c r="F2237" s="10"/>
      <c r="G2237" s="10"/>
    </row>
    <row r="2238" ht="15.75" customHeight="1">
      <c r="A2238" s="24"/>
      <c r="B2238" s="10"/>
      <c r="C2238" s="10"/>
      <c r="D2238" s="10"/>
      <c r="E2238" s="10"/>
      <c r="F2238" s="10"/>
      <c r="G2238" s="10"/>
    </row>
    <row r="2239" ht="15.75" customHeight="1">
      <c r="A2239" s="24"/>
      <c r="B2239" s="10"/>
      <c r="C2239" s="10"/>
      <c r="D2239" s="10"/>
      <c r="E2239" s="10"/>
      <c r="F2239" s="10"/>
      <c r="G2239" s="10"/>
    </row>
    <row r="2240" ht="15.75" customHeight="1">
      <c r="A2240" s="24"/>
      <c r="B2240" s="10"/>
      <c r="C2240" s="10"/>
      <c r="D2240" s="10"/>
      <c r="E2240" s="10"/>
      <c r="F2240" s="10"/>
      <c r="G2240" s="10"/>
    </row>
    <row r="2241" ht="15.75" customHeight="1">
      <c r="A2241" s="24"/>
      <c r="B2241" s="10"/>
      <c r="C2241" s="10"/>
      <c r="D2241" s="10"/>
      <c r="E2241" s="10"/>
      <c r="F2241" s="10"/>
      <c r="G2241" s="10"/>
    </row>
    <row r="2242" ht="15.75" customHeight="1">
      <c r="A2242" s="24"/>
      <c r="B2242" s="10"/>
      <c r="C2242" s="10"/>
      <c r="D2242" s="10"/>
      <c r="E2242" s="10"/>
      <c r="F2242" s="10"/>
      <c r="G2242" s="10"/>
    </row>
    <row r="2243" ht="15.75" customHeight="1">
      <c r="A2243" s="24"/>
      <c r="B2243" s="10"/>
      <c r="C2243" s="10"/>
      <c r="D2243" s="10"/>
      <c r="E2243" s="10"/>
      <c r="F2243" s="10"/>
      <c r="G2243" s="10"/>
    </row>
    <row r="2244" ht="15.75" customHeight="1">
      <c r="A2244" s="24"/>
      <c r="B2244" s="10"/>
      <c r="C2244" s="10"/>
      <c r="D2244" s="10"/>
      <c r="E2244" s="10"/>
      <c r="F2244" s="10"/>
      <c r="G2244" s="10"/>
    </row>
    <row r="2245" ht="15.75" customHeight="1">
      <c r="A2245" s="24"/>
      <c r="B2245" s="10"/>
      <c r="C2245" s="10"/>
      <c r="D2245" s="10"/>
      <c r="E2245" s="10"/>
      <c r="F2245" s="10"/>
      <c r="G2245" s="10"/>
    </row>
    <row r="2246" ht="15.75" customHeight="1">
      <c r="A2246" s="24"/>
      <c r="B2246" s="10"/>
      <c r="C2246" s="10"/>
      <c r="D2246" s="10"/>
      <c r="E2246" s="10"/>
      <c r="F2246" s="10"/>
      <c r="G2246" s="10"/>
    </row>
    <row r="2247" ht="15.75" customHeight="1">
      <c r="A2247" s="24"/>
      <c r="B2247" s="10"/>
      <c r="C2247" s="10"/>
      <c r="D2247" s="10"/>
      <c r="E2247" s="10"/>
      <c r="F2247" s="10"/>
      <c r="G2247" s="10"/>
    </row>
    <row r="2248" ht="15.75" customHeight="1">
      <c r="A2248" s="24"/>
      <c r="B2248" s="10"/>
      <c r="C2248" s="10"/>
      <c r="D2248" s="10"/>
      <c r="E2248" s="10"/>
      <c r="F2248" s="10"/>
      <c r="G2248" s="10"/>
    </row>
    <row r="2249" ht="15.75" customHeight="1">
      <c r="A2249" s="24"/>
      <c r="B2249" s="10"/>
      <c r="C2249" s="10"/>
      <c r="D2249" s="10"/>
      <c r="E2249" s="10"/>
      <c r="F2249" s="10"/>
      <c r="G2249" s="10"/>
    </row>
    <row r="2250" ht="15.75" customHeight="1">
      <c r="A2250" s="24"/>
      <c r="B2250" s="10"/>
      <c r="C2250" s="10"/>
      <c r="D2250" s="10"/>
      <c r="E2250" s="10"/>
      <c r="F2250" s="10"/>
      <c r="G2250" s="10"/>
    </row>
    <row r="2251" ht="15.75" customHeight="1">
      <c r="A2251" s="24"/>
      <c r="B2251" s="10"/>
      <c r="C2251" s="10"/>
      <c r="D2251" s="10"/>
      <c r="E2251" s="10"/>
      <c r="F2251" s="10"/>
      <c r="G2251" s="10"/>
    </row>
    <row r="2252" ht="15.75" customHeight="1">
      <c r="A2252" s="24"/>
      <c r="B2252" s="10"/>
      <c r="C2252" s="10"/>
      <c r="D2252" s="10"/>
      <c r="E2252" s="10"/>
      <c r="F2252" s="10"/>
      <c r="G2252" s="10"/>
    </row>
    <row r="2253" ht="15.75" customHeight="1">
      <c r="A2253" s="24"/>
      <c r="B2253" s="10"/>
      <c r="C2253" s="10"/>
      <c r="D2253" s="10"/>
      <c r="E2253" s="10"/>
      <c r="F2253" s="10"/>
      <c r="G2253" s="10"/>
    </row>
    <row r="2254" ht="15.75" customHeight="1">
      <c r="A2254" s="24"/>
      <c r="B2254" s="10"/>
      <c r="C2254" s="10"/>
      <c r="D2254" s="10"/>
      <c r="E2254" s="10"/>
      <c r="F2254" s="10"/>
      <c r="G2254" s="10"/>
    </row>
    <row r="2255" ht="15.75" customHeight="1">
      <c r="A2255" s="24"/>
      <c r="B2255" s="10"/>
      <c r="C2255" s="10"/>
      <c r="D2255" s="10"/>
      <c r="E2255" s="10"/>
      <c r="F2255" s="10"/>
      <c r="G2255" s="10"/>
    </row>
    <row r="2256" ht="15.75" customHeight="1">
      <c r="A2256" s="24"/>
      <c r="B2256" s="10"/>
      <c r="C2256" s="10"/>
      <c r="D2256" s="10"/>
      <c r="E2256" s="10"/>
      <c r="F2256" s="10"/>
      <c r="G2256" s="10"/>
    </row>
    <row r="2257" ht="15.75" customHeight="1">
      <c r="A2257" s="24"/>
      <c r="B2257" s="10"/>
      <c r="C2257" s="10"/>
      <c r="D2257" s="10"/>
      <c r="E2257" s="10"/>
      <c r="F2257" s="10"/>
      <c r="G2257" s="10"/>
    </row>
    <row r="2258" ht="15.75" customHeight="1">
      <c r="A2258" s="24"/>
      <c r="B2258" s="10"/>
      <c r="C2258" s="10"/>
      <c r="D2258" s="10"/>
      <c r="E2258" s="10"/>
      <c r="F2258" s="10"/>
      <c r="G2258" s="10"/>
    </row>
    <row r="2259" ht="15.75" customHeight="1">
      <c r="A2259" s="24"/>
      <c r="B2259" s="10"/>
      <c r="C2259" s="10"/>
      <c r="D2259" s="10"/>
      <c r="E2259" s="10"/>
      <c r="F2259" s="10"/>
      <c r="G2259" s="10"/>
    </row>
    <row r="2260" ht="15.75" customHeight="1">
      <c r="A2260" s="24"/>
      <c r="B2260" s="10"/>
      <c r="C2260" s="10"/>
      <c r="D2260" s="10"/>
      <c r="E2260" s="10"/>
      <c r="F2260" s="10"/>
      <c r="G2260" s="10"/>
    </row>
    <row r="2261" ht="15.75" customHeight="1">
      <c r="A2261" s="24"/>
      <c r="B2261" s="10"/>
      <c r="C2261" s="10"/>
      <c r="D2261" s="10"/>
      <c r="E2261" s="10"/>
      <c r="F2261" s="10"/>
      <c r="G2261" s="10"/>
    </row>
    <row r="2262" ht="15.75" customHeight="1">
      <c r="A2262" s="24"/>
      <c r="B2262" s="10"/>
      <c r="C2262" s="10"/>
      <c r="D2262" s="10"/>
      <c r="E2262" s="10"/>
      <c r="F2262" s="10"/>
      <c r="G2262" s="10"/>
    </row>
    <row r="2263" ht="15.75" customHeight="1">
      <c r="A2263" s="24"/>
      <c r="B2263" s="10"/>
      <c r="C2263" s="10"/>
      <c r="D2263" s="10"/>
      <c r="E2263" s="10"/>
      <c r="F2263" s="10"/>
      <c r="G2263" s="10"/>
    </row>
    <row r="2264" ht="15.75" customHeight="1">
      <c r="A2264" s="24"/>
      <c r="B2264" s="10"/>
      <c r="C2264" s="10"/>
      <c r="D2264" s="10"/>
      <c r="E2264" s="10"/>
      <c r="F2264" s="10"/>
      <c r="G2264" s="10"/>
    </row>
    <row r="2265" ht="15.75" customHeight="1">
      <c r="A2265" s="24"/>
      <c r="B2265" s="10"/>
      <c r="C2265" s="10"/>
      <c r="D2265" s="10"/>
      <c r="E2265" s="10"/>
      <c r="F2265" s="10"/>
      <c r="G2265" s="10"/>
    </row>
    <row r="2266" ht="15.75" customHeight="1">
      <c r="A2266" s="24"/>
      <c r="B2266" s="10"/>
      <c r="C2266" s="10"/>
      <c r="D2266" s="10"/>
      <c r="E2266" s="10"/>
      <c r="F2266" s="10"/>
      <c r="G2266" s="10"/>
    </row>
    <row r="2267" ht="15.75" customHeight="1">
      <c r="A2267" s="24"/>
      <c r="B2267" s="10"/>
      <c r="C2267" s="10"/>
      <c r="D2267" s="10"/>
      <c r="E2267" s="10"/>
      <c r="F2267" s="10"/>
      <c r="G2267" s="10"/>
    </row>
    <row r="2268" ht="15.75" customHeight="1">
      <c r="A2268" s="24"/>
      <c r="B2268" s="10"/>
      <c r="C2268" s="10"/>
      <c r="D2268" s="10"/>
      <c r="E2268" s="10"/>
      <c r="F2268" s="10"/>
      <c r="G2268" s="10"/>
    </row>
    <row r="2269" ht="15.75" customHeight="1">
      <c r="A2269" s="24"/>
      <c r="B2269" s="10"/>
      <c r="C2269" s="10"/>
      <c r="D2269" s="10"/>
      <c r="E2269" s="10"/>
      <c r="F2269" s="10"/>
      <c r="G2269" s="10"/>
    </row>
    <row r="2270" ht="15.75" customHeight="1">
      <c r="A2270" s="24"/>
      <c r="B2270" s="10"/>
      <c r="C2270" s="10"/>
      <c r="D2270" s="10"/>
      <c r="E2270" s="10"/>
      <c r="F2270" s="10"/>
      <c r="G2270" s="10"/>
    </row>
    <row r="2271" ht="15.75" customHeight="1">
      <c r="A2271" s="24"/>
      <c r="B2271" s="10"/>
      <c r="C2271" s="10"/>
      <c r="D2271" s="10"/>
      <c r="E2271" s="10"/>
      <c r="F2271" s="10"/>
      <c r="G2271" s="10"/>
    </row>
    <row r="2272" ht="15.75" customHeight="1">
      <c r="A2272" s="24"/>
      <c r="B2272" s="10"/>
      <c r="C2272" s="10"/>
      <c r="D2272" s="10"/>
      <c r="E2272" s="10"/>
      <c r="F2272" s="10"/>
      <c r="G2272" s="10"/>
    </row>
    <row r="2273" ht="15.75" customHeight="1">
      <c r="A2273" s="24"/>
      <c r="B2273" s="10"/>
      <c r="C2273" s="10"/>
      <c r="D2273" s="10"/>
      <c r="E2273" s="10"/>
      <c r="F2273" s="10"/>
      <c r="G2273" s="10"/>
    </row>
    <row r="2274" ht="15.75" customHeight="1">
      <c r="A2274" s="24"/>
      <c r="B2274" s="10"/>
      <c r="C2274" s="10"/>
      <c r="D2274" s="10"/>
      <c r="E2274" s="10"/>
      <c r="F2274" s="10"/>
      <c r="G2274" s="10"/>
    </row>
    <row r="2275" ht="15.75" customHeight="1">
      <c r="A2275" s="24"/>
      <c r="B2275" s="10"/>
      <c r="C2275" s="10"/>
      <c r="D2275" s="10"/>
      <c r="E2275" s="10"/>
      <c r="F2275" s="10"/>
      <c r="G2275" s="10"/>
    </row>
    <row r="2276" ht="15.75" customHeight="1">
      <c r="A2276" s="24"/>
      <c r="B2276" s="10"/>
      <c r="C2276" s="10"/>
      <c r="D2276" s="10"/>
      <c r="E2276" s="10"/>
      <c r="F2276" s="10"/>
      <c r="G2276" s="10"/>
    </row>
    <row r="2277" ht="15.75" customHeight="1">
      <c r="A2277" s="24"/>
      <c r="B2277" s="10"/>
      <c r="C2277" s="10"/>
      <c r="D2277" s="10"/>
      <c r="E2277" s="10"/>
      <c r="F2277" s="10"/>
      <c r="G2277" s="10"/>
    </row>
    <row r="2278" ht="15.75" customHeight="1">
      <c r="A2278" s="24"/>
      <c r="B2278" s="10"/>
      <c r="C2278" s="10"/>
      <c r="D2278" s="10"/>
      <c r="E2278" s="10"/>
      <c r="F2278" s="10"/>
      <c r="G2278" s="10"/>
    </row>
    <row r="2279" ht="15.75" customHeight="1">
      <c r="A2279" s="24"/>
      <c r="B2279" s="10"/>
      <c r="C2279" s="10"/>
      <c r="D2279" s="10"/>
      <c r="E2279" s="10"/>
      <c r="F2279" s="10"/>
      <c r="G2279" s="10"/>
    </row>
    <row r="2280" ht="15.75" customHeight="1">
      <c r="A2280" s="24"/>
      <c r="B2280" s="10"/>
      <c r="C2280" s="10"/>
      <c r="D2280" s="10"/>
      <c r="E2280" s="10"/>
      <c r="F2280" s="10"/>
      <c r="G2280" s="10"/>
    </row>
    <row r="2281" ht="15.75" customHeight="1">
      <c r="A2281" s="24"/>
      <c r="B2281" s="10"/>
      <c r="C2281" s="10"/>
      <c r="D2281" s="10"/>
      <c r="E2281" s="10"/>
      <c r="F2281" s="10"/>
      <c r="G2281" s="10"/>
    </row>
    <row r="2282" ht="15.75" customHeight="1">
      <c r="A2282" s="24"/>
      <c r="B2282" s="10"/>
      <c r="C2282" s="10"/>
      <c r="D2282" s="10"/>
      <c r="E2282" s="10"/>
      <c r="F2282" s="10"/>
      <c r="G2282" s="10"/>
    </row>
    <row r="2283" ht="15.75" customHeight="1">
      <c r="A2283" s="24"/>
      <c r="B2283" s="10"/>
      <c r="C2283" s="10"/>
      <c r="D2283" s="10"/>
      <c r="E2283" s="10"/>
      <c r="F2283" s="10"/>
      <c r="G2283" s="10"/>
    </row>
    <row r="2284" ht="15.75" customHeight="1">
      <c r="A2284" s="24"/>
      <c r="B2284" s="10"/>
      <c r="C2284" s="10"/>
      <c r="D2284" s="10"/>
      <c r="E2284" s="10"/>
      <c r="F2284" s="10"/>
      <c r="G2284" s="10"/>
    </row>
    <row r="2285" ht="15.75" customHeight="1">
      <c r="A2285" s="24"/>
      <c r="B2285" s="10"/>
      <c r="C2285" s="10"/>
      <c r="D2285" s="10"/>
      <c r="E2285" s="10"/>
      <c r="F2285" s="10"/>
      <c r="G2285" s="10"/>
    </row>
    <row r="2286" ht="15.75" customHeight="1">
      <c r="A2286" s="24"/>
      <c r="B2286" s="10"/>
      <c r="C2286" s="10"/>
      <c r="D2286" s="10"/>
      <c r="E2286" s="10"/>
      <c r="F2286" s="10"/>
      <c r="G2286" s="10"/>
    </row>
    <row r="2287" ht="15.75" customHeight="1">
      <c r="A2287" s="24"/>
      <c r="B2287" s="10"/>
      <c r="C2287" s="10"/>
      <c r="D2287" s="10"/>
      <c r="E2287" s="10"/>
      <c r="F2287" s="10"/>
      <c r="G2287" s="10"/>
    </row>
    <row r="2288" ht="15.75" customHeight="1">
      <c r="A2288" s="24"/>
      <c r="B2288" s="10"/>
      <c r="C2288" s="10"/>
      <c r="D2288" s="10"/>
      <c r="E2288" s="10"/>
      <c r="F2288" s="10"/>
      <c r="G2288" s="10"/>
    </row>
    <row r="2289" ht="15.75" customHeight="1">
      <c r="A2289" s="24"/>
      <c r="B2289" s="10"/>
      <c r="C2289" s="10"/>
      <c r="D2289" s="10"/>
      <c r="E2289" s="10"/>
      <c r="F2289" s="10"/>
      <c r="G2289" s="10"/>
    </row>
    <row r="2290" ht="15.75" customHeight="1">
      <c r="A2290" s="24"/>
      <c r="B2290" s="10"/>
      <c r="C2290" s="10"/>
      <c r="D2290" s="10"/>
      <c r="E2290" s="10"/>
      <c r="F2290" s="10"/>
      <c r="G2290" s="10"/>
    </row>
    <row r="2291" ht="15.75" customHeight="1">
      <c r="A2291" s="24"/>
      <c r="B2291" s="10"/>
      <c r="C2291" s="10"/>
      <c r="D2291" s="10"/>
      <c r="E2291" s="10"/>
      <c r="F2291" s="10"/>
      <c r="G2291" s="10"/>
    </row>
    <row r="2292" ht="15.75" customHeight="1">
      <c r="A2292" s="24"/>
      <c r="B2292" s="10"/>
      <c r="C2292" s="10"/>
      <c r="D2292" s="10"/>
      <c r="E2292" s="10"/>
      <c r="F2292" s="10"/>
      <c r="G2292" s="10"/>
    </row>
    <row r="2293" ht="15.75" customHeight="1">
      <c r="A2293" s="24"/>
      <c r="B2293" s="10"/>
      <c r="C2293" s="10"/>
      <c r="D2293" s="10"/>
      <c r="E2293" s="10"/>
      <c r="F2293" s="10"/>
      <c r="G2293" s="10"/>
    </row>
    <row r="2294" ht="15.75" customHeight="1">
      <c r="A2294" s="24"/>
      <c r="B2294" s="10"/>
      <c r="C2294" s="10"/>
      <c r="D2294" s="10"/>
      <c r="E2294" s="10"/>
      <c r="F2294" s="10"/>
      <c r="G2294" s="10"/>
    </row>
    <row r="2295" ht="15.75" customHeight="1">
      <c r="A2295" s="24"/>
      <c r="B2295" s="10"/>
      <c r="C2295" s="10"/>
      <c r="D2295" s="10"/>
      <c r="E2295" s="10"/>
      <c r="F2295" s="10"/>
      <c r="G2295" s="10"/>
    </row>
    <row r="2296" ht="15.75" customHeight="1">
      <c r="A2296" s="24"/>
      <c r="B2296" s="10"/>
      <c r="C2296" s="10"/>
      <c r="D2296" s="10"/>
      <c r="E2296" s="10"/>
      <c r="F2296" s="10"/>
      <c r="G2296" s="10"/>
    </row>
    <row r="2297" ht="15.75" customHeight="1">
      <c r="A2297" s="24"/>
      <c r="B2297" s="10"/>
      <c r="C2297" s="10"/>
      <c r="D2297" s="10"/>
      <c r="E2297" s="10"/>
      <c r="F2297" s="10"/>
      <c r="G2297" s="10"/>
    </row>
    <row r="2298" ht="15.75" customHeight="1">
      <c r="A2298" s="24"/>
      <c r="B2298" s="10"/>
      <c r="C2298" s="10"/>
      <c r="D2298" s="10"/>
      <c r="E2298" s="10"/>
      <c r="F2298" s="10"/>
      <c r="G2298" s="10"/>
    </row>
    <row r="2299" ht="15.75" customHeight="1">
      <c r="A2299" s="24"/>
      <c r="B2299" s="10"/>
      <c r="C2299" s="10"/>
      <c r="D2299" s="10"/>
      <c r="E2299" s="10"/>
      <c r="F2299" s="10"/>
      <c r="G2299" s="10"/>
    </row>
    <row r="2300" ht="15.75" customHeight="1">
      <c r="A2300" s="24"/>
      <c r="B2300" s="10"/>
      <c r="C2300" s="10"/>
      <c r="D2300" s="10"/>
      <c r="E2300" s="10"/>
      <c r="F2300" s="10"/>
      <c r="G2300" s="10"/>
    </row>
    <row r="2301" ht="15.75" customHeight="1">
      <c r="A2301" s="24"/>
      <c r="B2301" s="10"/>
      <c r="C2301" s="10"/>
      <c r="D2301" s="10"/>
      <c r="E2301" s="10"/>
      <c r="F2301" s="10"/>
      <c r="G2301" s="10"/>
    </row>
    <row r="2302" ht="15.75" customHeight="1">
      <c r="A2302" s="24"/>
      <c r="B2302" s="10"/>
      <c r="C2302" s="10"/>
      <c r="D2302" s="10"/>
      <c r="E2302" s="10"/>
      <c r="F2302" s="10"/>
      <c r="G2302" s="10"/>
    </row>
    <row r="2303" ht="15.75" customHeight="1">
      <c r="A2303" s="24"/>
      <c r="B2303" s="10"/>
      <c r="C2303" s="10"/>
      <c r="D2303" s="10"/>
      <c r="E2303" s="10"/>
      <c r="F2303" s="10"/>
      <c r="G2303" s="10"/>
    </row>
    <row r="2304" ht="15.75" customHeight="1">
      <c r="A2304" s="24"/>
      <c r="B2304" s="10"/>
      <c r="C2304" s="10"/>
      <c r="D2304" s="10"/>
      <c r="E2304" s="10"/>
      <c r="F2304" s="10"/>
      <c r="G2304" s="10"/>
    </row>
    <row r="2305" ht="15.75" customHeight="1">
      <c r="A2305" s="24"/>
      <c r="B2305" s="10"/>
      <c r="C2305" s="10"/>
      <c r="D2305" s="10"/>
      <c r="E2305" s="10"/>
      <c r="F2305" s="10"/>
      <c r="G2305" s="10"/>
    </row>
    <row r="2306" ht="15.75" customHeight="1">
      <c r="A2306" s="24"/>
      <c r="B2306" s="10"/>
      <c r="C2306" s="10"/>
      <c r="D2306" s="10"/>
      <c r="E2306" s="10"/>
      <c r="F2306" s="10"/>
      <c r="G2306" s="10"/>
    </row>
    <row r="2307" ht="15.75" customHeight="1">
      <c r="A2307" s="24"/>
      <c r="B2307" s="10"/>
      <c r="C2307" s="10"/>
      <c r="D2307" s="10"/>
      <c r="E2307" s="10"/>
      <c r="F2307" s="10"/>
      <c r="G2307" s="10"/>
    </row>
    <row r="2308" ht="15.75" customHeight="1">
      <c r="A2308" s="24"/>
      <c r="B2308" s="10"/>
      <c r="C2308" s="10"/>
      <c r="D2308" s="10"/>
      <c r="E2308" s="10"/>
      <c r="F2308" s="10"/>
      <c r="G2308" s="10"/>
    </row>
    <row r="2309" ht="15.75" customHeight="1">
      <c r="A2309" s="24"/>
      <c r="B2309" s="10"/>
      <c r="C2309" s="10"/>
      <c r="D2309" s="10"/>
      <c r="E2309" s="10"/>
      <c r="F2309" s="10"/>
      <c r="G2309" s="10"/>
    </row>
    <row r="2310" ht="15.75" customHeight="1">
      <c r="A2310" s="24"/>
      <c r="B2310" s="10"/>
      <c r="C2310" s="10"/>
      <c r="D2310" s="10"/>
      <c r="E2310" s="10"/>
      <c r="F2310" s="10"/>
      <c r="G2310" s="10"/>
    </row>
    <row r="2311" ht="15.75" customHeight="1">
      <c r="A2311" s="24"/>
      <c r="B2311" s="10"/>
      <c r="C2311" s="10"/>
      <c r="D2311" s="10"/>
      <c r="E2311" s="10"/>
      <c r="F2311" s="10"/>
      <c r="G2311" s="10"/>
    </row>
    <row r="2312" ht="15.75" customHeight="1">
      <c r="A2312" s="24"/>
      <c r="B2312" s="10"/>
      <c r="C2312" s="10"/>
      <c r="D2312" s="10"/>
      <c r="E2312" s="10"/>
      <c r="F2312" s="10"/>
      <c r="G2312" s="10"/>
    </row>
    <row r="2313" ht="15.75" customHeight="1">
      <c r="A2313" s="24"/>
      <c r="B2313" s="10"/>
      <c r="C2313" s="10"/>
      <c r="D2313" s="10"/>
      <c r="E2313" s="10"/>
      <c r="F2313" s="10"/>
      <c r="G2313" s="10"/>
    </row>
    <row r="2314" ht="15.75" customHeight="1">
      <c r="A2314" s="24"/>
      <c r="B2314" s="10"/>
      <c r="C2314" s="10"/>
      <c r="D2314" s="10"/>
      <c r="E2314" s="10"/>
      <c r="F2314" s="10"/>
      <c r="G2314" s="10"/>
    </row>
    <row r="2315" ht="15.75" customHeight="1">
      <c r="A2315" s="24"/>
      <c r="B2315" s="10"/>
      <c r="C2315" s="10"/>
      <c r="D2315" s="10"/>
      <c r="E2315" s="10"/>
      <c r="F2315" s="10"/>
      <c r="G2315" s="10"/>
    </row>
    <row r="2316" ht="15.75" customHeight="1">
      <c r="A2316" s="24"/>
      <c r="B2316" s="10"/>
      <c r="C2316" s="10"/>
      <c r="D2316" s="10"/>
      <c r="E2316" s="10"/>
      <c r="F2316" s="10"/>
      <c r="G2316" s="10"/>
    </row>
    <row r="2317" ht="15.75" customHeight="1">
      <c r="A2317" s="24"/>
      <c r="B2317" s="10"/>
      <c r="C2317" s="10"/>
      <c r="D2317" s="10"/>
      <c r="E2317" s="10"/>
      <c r="F2317" s="10"/>
      <c r="G2317" s="10"/>
    </row>
    <row r="2318" ht="15.75" customHeight="1">
      <c r="A2318" s="24"/>
      <c r="B2318" s="10"/>
      <c r="C2318" s="10"/>
      <c r="D2318" s="10"/>
      <c r="E2318" s="10"/>
      <c r="F2318" s="10"/>
      <c r="G2318" s="10"/>
    </row>
    <row r="2319" ht="15.75" customHeight="1">
      <c r="A2319" s="24"/>
      <c r="B2319" s="10"/>
      <c r="C2319" s="10"/>
      <c r="D2319" s="10"/>
      <c r="E2319" s="10"/>
      <c r="F2319" s="10"/>
      <c r="G2319" s="10"/>
    </row>
    <row r="2320" ht="15.75" customHeight="1">
      <c r="A2320" s="24"/>
      <c r="B2320" s="10"/>
      <c r="C2320" s="10"/>
      <c r="D2320" s="10"/>
      <c r="E2320" s="10"/>
      <c r="F2320" s="10"/>
      <c r="G2320" s="10"/>
    </row>
    <row r="2321" ht="15.75" customHeight="1">
      <c r="A2321" s="24"/>
      <c r="B2321" s="10"/>
      <c r="C2321" s="10"/>
      <c r="D2321" s="10"/>
      <c r="E2321" s="10"/>
      <c r="F2321" s="10"/>
      <c r="G2321" s="10"/>
    </row>
    <row r="2322" ht="15.75" customHeight="1">
      <c r="A2322" s="24"/>
      <c r="B2322" s="10"/>
      <c r="C2322" s="10"/>
      <c r="D2322" s="10"/>
      <c r="E2322" s="10"/>
      <c r="F2322" s="10"/>
      <c r="G2322" s="10"/>
    </row>
    <row r="2323" ht="15.75" customHeight="1">
      <c r="A2323" s="24"/>
      <c r="B2323" s="10"/>
      <c r="C2323" s="10"/>
      <c r="D2323" s="10"/>
      <c r="E2323" s="10"/>
      <c r="F2323" s="10"/>
      <c r="G2323" s="10"/>
    </row>
    <row r="2324" ht="15.75" customHeight="1">
      <c r="A2324" s="24"/>
      <c r="B2324" s="10"/>
      <c r="C2324" s="10"/>
      <c r="D2324" s="10"/>
      <c r="E2324" s="10"/>
      <c r="F2324" s="10"/>
      <c r="G2324" s="10"/>
    </row>
    <row r="2325" ht="15.75" customHeight="1">
      <c r="A2325" s="24"/>
      <c r="B2325" s="10"/>
      <c r="C2325" s="10"/>
      <c r="D2325" s="10"/>
      <c r="E2325" s="10"/>
      <c r="F2325" s="10"/>
      <c r="G2325" s="10"/>
    </row>
    <row r="2326" ht="15.75" customHeight="1">
      <c r="A2326" s="24"/>
      <c r="B2326" s="10"/>
      <c r="C2326" s="10"/>
      <c r="D2326" s="10"/>
      <c r="E2326" s="10"/>
      <c r="F2326" s="10"/>
      <c r="G2326" s="10"/>
    </row>
    <row r="2327" ht="15.75" customHeight="1">
      <c r="A2327" s="24"/>
      <c r="B2327" s="10"/>
      <c r="C2327" s="10"/>
      <c r="D2327" s="10"/>
      <c r="E2327" s="10"/>
      <c r="F2327" s="10"/>
      <c r="G2327" s="10"/>
    </row>
    <row r="2328" ht="15.75" customHeight="1">
      <c r="A2328" s="24"/>
      <c r="B2328" s="10"/>
      <c r="C2328" s="10"/>
      <c r="D2328" s="10"/>
      <c r="E2328" s="10"/>
      <c r="F2328" s="10"/>
      <c r="G2328" s="10"/>
    </row>
    <row r="2329" ht="15.75" customHeight="1">
      <c r="A2329" s="24"/>
      <c r="B2329" s="10"/>
      <c r="C2329" s="10"/>
      <c r="D2329" s="10"/>
      <c r="E2329" s="10"/>
      <c r="F2329" s="10"/>
      <c r="G2329" s="10"/>
    </row>
    <row r="2330" ht="15.75" customHeight="1">
      <c r="A2330" s="24"/>
      <c r="B2330" s="10"/>
      <c r="C2330" s="10"/>
      <c r="D2330" s="10"/>
      <c r="E2330" s="10"/>
      <c r="F2330" s="10"/>
      <c r="G2330" s="10"/>
    </row>
    <row r="2331" ht="15.75" customHeight="1">
      <c r="A2331" s="24"/>
      <c r="B2331" s="10"/>
      <c r="C2331" s="10"/>
      <c r="D2331" s="10"/>
      <c r="E2331" s="10"/>
      <c r="F2331" s="10"/>
      <c r="G2331" s="10"/>
    </row>
    <row r="2332" ht="15.75" customHeight="1">
      <c r="A2332" s="24"/>
      <c r="B2332" s="10"/>
      <c r="C2332" s="10"/>
      <c r="D2332" s="10"/>
      <c r="E2332" s="10"/>
      <c r="F2332" s="10"/>
      <c r="G2332" s="10"/>
    </row>
    <row r="2333" ht="15.75" customHeight="1">
      <c r="A2333" s="24"/>
      <c r="B2333" s="10"/>
      <c r="C2333" s="10"/>
      <c r="D2333" s="10"/>
      <c r="E2333" s="10"/>
      <c r="F2333" s="10"/>
      <c r="G2333" s="10"/>
    </row>
    <row r="2334" ht="15.75" customHeight="1">
      <c r="A2334" s="24"/>
      <c r="B2334" s="10"/>
      <c r="C2334" s="10"/>
      <c r="D2334" s="10"/>
      <c r="E2334" s="10"/>
      <c r="F2334" s="10"/>
      <c r="G2334" s="10"/>
    </row>
    <row r="2335" ht="15.75" customHeight="1">
      <c r="A2335" s="24"/>
      <c r="B2335" s="10"/>
      <c r="C2335" s="10"/>
      <c r="D2335" s="10"/>
      <c r="E2335" s="10"/>
      <c r="F2335" s="10"/>
      <c r="G2335" s="10"/>
    </row>
    <row r="2336" ht="15.75" customHeight="1">
      <c r="A2336" s="24"/>
      <c r="B2336" s="10"/>
      <c r="C2336" s="10"/>
      <c r="D2336" s="10"/>
      <c r="E2336" s="10"/>
      <c r="F2336" s="10"/>
      <c r="G2336" s="10"/>
    </row>
    <row r="2337" ht="15.75" customHeight="1">
      <c r="A2337" s="24"/>
      <c r="B2337" s="10"/>
      <c r="C2337" s="10"/>
      <c r="D2337" s="10"/>
      <c r="E2337" s="10"/>
      <c r="F2337" s="10"/>
      <c r="G2337" s="10"/>
    </row>
    <row r="2338" ht="15.75" customHeight="1">
      <c r="A2338" s="24"/>
      <c r="B2338" s="10"/>
      <c r="C2338" s="10"/>
      <c r="D2338" s="10"/>
      <c r="E2338" s="10"/>
      <c r="F2338" s="10"/>
      <c r="G2338" s="10"/>
    </row>
    <row r="2339" ht="15.75" customHeight="1">
      <c r="A2339" s="24"/>
      <c r="B2339" s="10"/>
      <c r="C2339" s="10"/>
      <c r="D2339" s="10"/>
      <c r="E2339" s="10"/>
      <c r="F2339" s="10"/>
      <c r="G2339" s="10"/>
    </row>
    <row r="2340" ht="15.75" customHeight="1">
      <c r="A2340" s="24"/>
      <c r="B2340" s="10"/>
      <c r="C2340" s="10"/>
      <c r="D2340" s="10"/>
      <c r="E2340" s="10"/>
      <c r="F2340" s="10"/>
      <c r="G2340" s="10"/>
    </row>
    <row r="2341" ht="15.75" customHeight="1">
      <c r="A2341" s="24"/>
      <c r="B2341" s="10"/>
      <c r="C2341" s="10"/>
      <c r="D2341" s="10"/>
      <c r="E2341" s="10"/>
      <c r="F2341" s="10"/>
      <c r="G2341" s="10"/>
    </row>
    <row r="2342" ht="15.75" customHeight="1">
      <c r="A2342" s="24"/>
      <c r="B2342" s="10"/>
      <c r="C2342" s="10"/>
      <c r="D2342" s="10"/>
      <c r="E2342" s="10"/>
      <c r="F2342" s="10"/>
      <c r="G2342" s="10"/>
    </row>
    <row r="2343" ht="15.75" customHeight="1">
      <c r="A2343" s="24"/>
      <c r="B2343" s="10"/>
      <c r="C2343" s="10"/>
      <c r="D2343" s="10"/>
      <c r="E2343" s="10"/>
      <c r="F2343" s="10"/>
      <c r="G2343" s="10"/>
    </row>
    <row r="2344" ht="15.75" customHeight="1">
      <c r="A2344" s="24"/>
      <c r="B2344" s="10"/>
      <c r="C2344" s="10"/>
      <c r="D2344" s="10"/>
      <c r="E2344" s="10"/>
      <c r="F2344" s="10"/>
      <c r="G2344" s="10"/>
    </row>
    <row r="2345" ht="15.75" customHeight="1">
      <c r="A2345" s="24"/>
      <c r="B2345" s="10"/>
      <c r="C2345" s="10"/>
      <c r="D2345" s="10"/>
      <c r="E2345" s="10"/>
      <c r="F2345" s="10"/>
      <c r="G2345" s="10"/>
    </row>
    <row r="2346" ht="15.75" customHeight="1">
      <c r="A2346" s="24"/>
      <c r="B2346" s="10"/>
      <c r="C2346" s="10"/>
      <c r="D2346" s="10"/>
      <c r="E2346" s="10"/>
      <c r="F2346" s="10"/>
      <c r="G2346" s="10"/>
    </row>
    <row r="2347" ht="15.75" customHeight="1">
      <c r="A2347" s="24"/>
      <c r="B2347" s="10"/>
      <c r="C2347" s="10"/>
      <c r="D2347" s="10"/>
      <c r="E2347" s="10"/>
      <c r="F2347" s="10"/>
      <c r="G2347" s="10"/>
    </row>
    <row r="2348" ht="15.75" customHeight="1">
      <c r="A2348" s="24"/>
      <c r="B2348" s="10"/>
      <c r="C2348" s="10"/>
      <c r="D2348" s="10"/>
      <c r="E2348" s="10"/>
      <c r="F2348" s="10"/>
      <c r="G2348" s="10"/>
    </row>
    <row r="2349" ht="15.75" customHeight="1">
      <c r="A2349" s="24"/>
      <c r="B2349" s="10"/>
      <c r="C2349" s="10"/>
      <c r="D2349" s="10"/>
      <c r="E2349" s="10"/>
      <c r="F2349" s="10"/>
      <c r="G2349" s="10"/>
    </row>
    <row r="2350" ht="15.75" customHeight="1">
      <c r="A2350" s="24"/>
      <c r="B2350" s="10"/>
      <c r="C2350" s="10"/>
      <c r="D2350" s="10"/>
      <c r="E2350" s="10"/>
      <c r="F2350" s="10"/>
      <c r="G2350" s="10"/>
    </row>
    <row r="2351" ht="15.75" customHeight="1">
      <c r="A2351" s="24"/>
      <c r="B2351" s="10"/>
      <c r="C2351" s="10"/>
      <c r="D2351" s="10"/>
      <c r="E2351" s="10"/>
      <c r="F2351" s="10"/>
      <c r="G2351" s="10"/>
    </row>
    <row r="2352" ht="15.75" customHeight="1">
      <c r="A2352" s="24"/>
      <c r="B2352" s="10"/>
      <c r="C2352" s="10"/>
      <c r="D2352" s="10"/>
      <c r="E2352" s="10"/>
      <c r="F2352" s="10"/>
      <c r="G2352" s="10"/>
    </row>
    <row r="2353" ht="15.75" customHeight="1">
      <c r="A2353" s="24"/>
      <c r="B2353" s="10"/>
      <c r="C2353" s="10"/>
      <c r="D2353" s="10"/>
      <c r="E2353" s="10"/>
      <c r="F2353" s="10"/>
      <c r="G2353" s="10"/>
    </row>
    <row r="2354" ht="15.75" customHeight="1">
      <c r="A2354" s="24"/>
      <c r="B2354" s="10"/>
      <c r="C2354" s="10"/>
      <c r="D2354" s="10"/>
      <c r="E2354" s="10"/>
      <c r="F2354" s="10"/>
      <c r="G2354" s="10"/>
    </row>
    <row r="2355" ht="15.75" customHeight="1">
      <c r="A2355" s="24"/>
      <c r="B2355" s="10"/>
      <c r="C2355" s="10"/>
      <c r="D2355" s="10"/>
      <c r="E2355" s="10"/>
      <c r="F2355" s="10"/>
      <c r="G2355" s="10"/>
    </row>
    <row r="2356" ht="15.75" customHeight="1">
      <c r="A2356" s="24"/>
      <c r="B2356" s="10"/>
      <c r="C2356" s="10"/>
      <c r="D2356" s="10"/>
      <c r="E2356" s="10"/>
      <c r="F2356" s="10"/>
      <c r="G2356" s="10"/>
    </row>
    <row r="2357" ht="15.75" customHeight="1">
      <c r="A2357" s="24"/>
      <c r="B2357" s="10"/>
      <c r="C2357" s="10"/>
      <c r="D2357" s="10"/>
      <c r="E2357" s="10"/>
      <c r="F2357" s="10"/>
      <c r="G2357" s="10"/>
    </row>
    <row r="2358" ht="15.75" customHeight="1">
      <c r="A2358" s="24"/>
      <c r="B2358" s="10"/>
      <c r="C2358" s="10"/>
      <c r="D2358" s="10"/>
      <c r="E2358" s="10"/>
      <c r="F2358" s="10"/>
      <c r="G2358" s="10"/>
    </row>
    <row r="2359" ht="15.75" customHeight="1">
      <c r="A2359" s="24"/>
      <c r="B2359" s="10"/>
      <c r="C2359" s="10"/>
      <c r="D2359" s="10"/>
      <c r="E2359" s="10"/>
      <c r="F2359" s="10"/>
      <c r="G2359" s="10"/>
    </row>
    <row r="2360" ht="15.75" customHeight="1">
      <c r="A2360" s="24"/>
      <c r="B2360" s="10"/>
      <c r="C2360" s="10"/>
      <c r="D2360" s="10"/>
      <c r="E2360" s="10"/>
      <c r="F2360" s="10"/>
      <c r="G2360" s="10"/>
    </row>
    <row r="2361" ht="15.75" customHeight="1">
      <c r="A2361" s="24"/>
      <c r="B2361" s="10"/>
      <c r="C2361" s="10"/>
      <c r="D2361" s="10"/>
      <c r="E2361" s="10"/>
      <c r="F2361" s="10"/>
      <c r="G2361" s="10"/>
    </row>
    <row r="2362" ht="15.75" customHeight="1">
      <c r="A2362" s="24"/>
      <c r="B2362" s="10"/>
      <c r="C2362" s="10"/>
      <c r="D2362" s="10"/>
      <c r="E2362" s="10"/>
      <c r="F2362" s="10"/>
      <c r="G2362" s="10"/>
    </row>
    <row r="2363" ht="15.75" customHeight="1">
      <c r="A2363" s="24"/>
      <c r="B2363" s="10"/>
      <c r="C2363" s="10"/>
      <c r="D2363" s="10"/>
      <c r="E2363" s="10"/>
      <c r="F2363" s="10"/>
      <c r="G2363" s="10"/>
    </row>
    <row r="2364" ht="15.75" customHeight="1">
      <c r="A2364" s="24"/>
      <c r="B2364" s="10"/>
      <c r="C2364" s="10"/>
      <c r="D2364" s="10"/>
      <c r="E2364" s="10"/>
      <c r="F2364" s="10"/>
      <c r="G2364" s="10"/>
    </row>
    <row r="2365" ht="15.75" customHeight="1">
      <c r="A2365" s="24"/>
      <c r="B2365" s="10"/>
      <c r="C2365" s="10"/>
      <c r="D2365" s="10"/>
      <c r="E2365" s="10"/>
      <c r="F2365" s="10"/>
      <c r="G2365" s="10"/>
    </row>
    <row r="2366" ht="15.75" customHeight="1">
      <c r="A2366" s="24"/>
      <c r="B2366" s="10"/>
      <c r="C2366" s="10"/>
      <c r="D2366" s="10"/>
      <c r="E2366" s="10"/>
      <c r="F2366" s="10"/>
      <c r="G2366" s="10"/>
    </row>
    <row r="2367" ht="15.75" customHeight="1">
      <c r="A2367" s="24"/>
      <c r="B2367" s="10"/>
      <c r="C2367" s="10"/>
      <c r="D2367" s="10"/>
      <c r="E2367" s="10"/>
      <c r="F2367" s="10"/>
      <c r="G2367" s="10"/>
    </row>
    <row r="2368" ht="15.75" customHeight="1">
      <c r="A2368" s="24"/>
      <c r="B2368" s="10"/>
      <c r="C2368" s="10"/>
      <c r="D2368" s="10"/>
      <c r="E2368" s="10"/>
      <c r="F2368" s="10"/>
      <c r="G2368" s="10"/>
    </row>
    <row r="2369" ht="15.75" customHeight="1">
      <c r="A2369" s="24"/>
      <c r="B2369" s="10"/>
      <c r="C2369" s="10"/>
      <c r="D2369" s="10"/>
      <c r="E2369" s="10"/>
      <c r="F2369" s="10"/>
      <c r="G2369" s="10"/>
    </row>
    <row r="2370" ht="15.75" customHeight="1">
      <c r="A2370" s="24"/>
      <c r="B2370" s="10"/>
      <c r="C2370" s="10"/>
      <c r="D2370" s="10"/>
      <c r="E2370" s="10"/>
      <c r="F2370" s="10"/>
      <c r="G2370" s="10"/>
    </row>
    <row r="2371" ht="15.75" customHeight="1">
      <c r="A2371" s="24"/>
      <c r="B2371" s="10"/>
      <c r="C2371" s="10"/>
      <c r="D2371" s="10"/>
      <c r="E2371" s="10"/>
      <c r="F2371" s="10"/>
      <c r="G2371" s="10"/>
    </row>
    <row r="2372" ht="15.75" customHeight="1">
      <c r="A2372" s="24"/>
      <c r="B2372" s="10"/>
      <c r="C2372" s="10"/>
      <c r="D2372" s="10"/>
      <c r="E2372" s="10"/>
      <c r="F2372" s="10"/>
      <c r="G2372" s="10"/>
    </row>
    <row r="2373" ht="15.75" customHeight="1">
      <c r="A2373" s="24"/>
      <c r="B2373" s="10"/>
      <c r="C2373" s="10"/>
      <c r="D2373" s="10"/>
      <c r="E2373" s="10"/>
      <c r="F2373" s="10"/>
      <c r="G2373" s="10"/>
    </row>
    <row r="2374" ht="15.75" customHeight="1">
      <c r="A2374" s="24"/>
      <c r="B2374" s="10"/>
      <c r="C2374" s="10"/>
      <c r="D2374" s="10"/>
      <c r="E2374" s="10"/>
      <c r="F2374" s="10"/>
      <c r="G2374" s="10"/>
    </row>
    <row r="2375" ht="15.75" customHeight="1">
      <c r="A2375" s="24"/>
      <c r="B2375" s="10"/>
      <c r="C2375" s="10"/>
      <c r="D2375" s="10"/>
      <c r="E2375" s="10"/>
      <c r="F2375" s="10"/>
      <c r="G2375" s="10"/>
    </row>
    <row r="2376" ht="15.75" customHeight="1">
      <c r="A2376" s="24"/>
      <c r="B2376" s="10"/>
      <c r="C2376" s="10"/>
      <c r="D2376" s="10"/>
      <c r="E2376" s="10"/>
      <c r="F2376" s="10"/>
      <c r="G2376" s="10"/>
    </row>
    <row r="2377" ht="15.75" customHeight="1">
      <c r="A2377" s="24"/>
      <c r="B2377" s="10"/>
      <c r="C2377" s="10"/>
      <c r="D2377" s="10"/>
      <c r="E2377" s="10"/>
      <c r="F2377" s="10"/>
      <c r="G2377" s="10"/>
    </row>
    <row r="2378" ht="15.75" customHeight="1">
      <c r="A2378" s="24"/>
      <c r="B2378" s="10"/>
      <c r="C2378" s="10"/>
      <c r="D2378" s="10"/>
      <c r="E2378" s="10"/>
      <c r="F2378" s="10"/>
      <c r="G2378" s="10"/>
    </row>
    <row r="2379" ht="15.75" customHeight="1">
      <c r="A2379" s="24"/>
      <c r="B2379" s="10"/>
      <c r="C2379" s="10"/>
      <c r="D2379" s="10"/>
      <c r="E2379" s="10"/>
      <c r="F2379" s="10"/>
      <c r="G2379" s="10"/>
    </row>
    <row r="2380" ht="15.75" customHeight="1">
      <c r="A2380" s="24"/>
      <c r="B2380" s="10"/>
      <c r="C2380" s="10"/>
      <c r="D2380" s="10"/>
      <c r="E2380" s="10"/>
      <c r="F2380" s="10"/>
      <c r="G2380" s="10"/>
    </row>
    <row r="2381" ht="15.75" customHeight="1">
      <c r="A2381" s="24"/>
      <c r="B2381" s="10"/>
      <c r="C2381" s="10"/>
      <c r="D2381" s="10"/>
      <c r="E2381" s="10"/>
      <c r="F2381" s="10"/>
      <c r="G2381" s="10"/>
    </row>
    <row r="2382" ht="15.75" customHeight="1">
      <c r="A2382" s="24"/>
      <c r="B2382" s="10"/>
      <c r="C2382" s="10"/>
      <c r="D2382" s="10"/>
      <c r="E2382" s="10"/>
      <c r="F2382" s="10"/>
      <c r="G2382" s="10"/>
    </row>
    <row r="2383" ht="15.75" customHeight="1">
      <c r="A2383" s="24"/>
      <c r="B2383" s="10"/>
      <c r="C2383" s="10"/>
      <c r="D2383" s="10"/>
      <c r="E2383" s="10"/>
      <c r="F2383" s="10"/>
      <c r="G2383" s="10"/>
    </row>
    <row r="2384" ht="15.75" customHeight="1">
      <c r="A2384" s="24"/>
      <c r="B2384" s="10"/>
      <c r="C2384" s="10"/>
      <c r="D2384" s="10"/>
      <c r="E2384" s="10"/>
      <c r="F2384" s="10"/>
      <c r="G2384" s="10"/>
    </row>
    <row r="2385" ht="15.75" customHeight="1">
      <c r="A2385" s="24"/>
      <c r="B2385" s="10"/>
      <c r="C2385" s="10"/>
      <c r="D2385" s="10"/>
      <c r="E2385" s="10"/>
      <c r="F2385" s="10"/>
      <c r="G2385" s="10"/>
    </row>
    <row r="2386" ht="15.75" customHeight="1">
      <c r="A2386" s="24"/>
      <c r="B2386" s="10"/>
      <c r="C2386" s="10"/>
      <c r="D2386" s="10"/>
      <c r="E2386" s="10"/>
      <c r="F2386" s="10"/>
      <c r="G2386" s="10"/>
    </row>
    <row r="2387" ht="15.75" customHeight="1">
      <c r="A2387" s="24"/>
      <c r="B2387" s="10"/>
      <c r="C2387" s="10"/>
      <c r="D2387" s="10"/>
      <c r="E2387" s="10"/>
      <c r="F2387" s="10"/>
      <c r="G2387" s="10"/>
    </row>
    <row r="2388" ht="15.75" customHeight="1">
      <c r="A2388" s="24"/>
      <c r="B2388" s="10"/>
      <c r="C2388" s="10"/>
      <c r="D2388" s="10"/>
      <c r="E2388" s="10"/>
      <c r="F2388" s="10"/>
      <c r="G2388" s="10"/>
    </row>
    <row r="2389" ht="15.75" customHeight="1">
      <c r="A2389" s="24"/>
      <c r="B2389" s="10"/>
      <c r="C2389" s="10"/>
      <c r="D2389" s="10"/>
      <c r="E2389" s="10"/>
      <c r="F2389" s="10"/>
      <c r="G2389" s="10"/>
    </row>
    <row r="2390" ht="15.75" customHeight="1">
      <c r="A2390" s="24"/>
      <c r="B2390" s="10"/>
      <c r="C2390" s="10"/>
      <c r="D2390" s="10"/>
      <c r="E2390" s="10"/>
      <c r="F2390" s="10"/>
      <c r="G2390" s="10"/>
    </row>
    <row r="2391" ht="15.75" customHeight="1">
      <c r="A2391" s="24"/>
      <c r="B2391" s="10"/>
      <c r="C2391" s="10"/>
      <c r="D2391" s="10"/>
      <c r="E2391" s="10"/>
      <c r="F2391" s="10"/>
      <c r="G2391" s="10"/>
    </row>
    <row r="2392" ht="15.75" customHeight="1">
      <c r="A2392" s="24"/>
      <c r="B2392" s="10"/>
      <c r="C2392" s="10"/>
      <c r="D2392" s="10"/>
      <c r="E2392" s="10"/>
      <c r="F2392" s="10"/>
      <c r="G2392" s="10"/>
    </row>
    <row r="2393" ht="15.75" customHeight="1">
      <c r="A2393" s="24"/>
      <c r="B2393" s="10"/>
      <c r="C2393" s="10"/>
      <c r="D2393" s="10"/>
      <c r="E2393" s="10"/>
      <c r="F2393" s="10"/>
      <c r="G2393" s="10"/>
    </row>
    <row r="2394" ht="15.75" customHeight="1">
      <c r="A2394" s="24"/>
      <c r="B2394" s="10"/>
      <c r="C2394" s="10"/>
      <c r="D2394" s="10"/>
      <c r="E2394" s="10"/>
      <c r="F2394" s="10"/>
      <c r="G2394" s="10"/>
    </row>
    <row r="2395" ht="15.75" customHeight="1">
      <c r="A2395" s="24"/>
      <c r="B2395" s="10"/>
      <c r="C2395" s="10"/>
      <c r="D2395" s="10"/>
      <c r="E2395" s="10"/>
      <c r="F2395" s="10"/>
      <c r="G2395" s="10"/>
    </row>
    <row r="2396" ht="15.75" customHeight="1">
      <c r="A2396" s="24"/>
      <c r="B2396" s="10"/>
      <c r="C2396" s="10"/>
      <c r="D2396" s="10"/>
      <c r="E2396" s="10"/>
      <c r="F2396" s="10"/>
      <c r="G2396" s="10"/>
    </row>
    <row r="2397" ht="15.75" customHeight="1">
      <c r="A2397" s="24"/>
      <c r="B2397" s="10"/>
      <c r="C2397" s="10"/>
      <c r="D2397" s="10"/>
      <c r="E2397" s="10"/>
      <c r="F2397" s="10"/>
      <c r="G2397" s="10"/>
    </row>
    <row r="2398" ht="15.75" customHeight="1">
      <c r="A2398" s="24"/>
      <c r="B2398" s="10"/>
      <c r="C2398" s="10"/>
      <c r="D2398" s="10"/>
      <c r="E2398" s="10"/>
      <c r="F2398" s="10"/>
      <c r="G2398" s="10"/>
    </row>
    <row r="2399" ht="15.75" customHeight="1">
      <c r="A2399" s="24"/>
      <c r="B2399" s="10"/>
      <c r="C2399" s="10"/>
      <c r="D2399" s="10"/>
      <c r="E2399" s="10"/>
      <c r="F2399" s="10"/>
      <c r="G2399" s="10"/>
    </row>
    <row r="2400" ht="15.75" customHeight="1">
      <c r="A2400" s="24"/>
      <c r="B2400" s="10"/>
      <c r="C2400" s="10"/>
      <c r="D2400" s="10"/>
      <c r="E2400" s="10"/>
      <c r="F2400" s="10"/>
      <c r="G2400" s="10"/>
    </row>
    <row r="2401" ht="15.75" customHeight="1">
      <c r="A2401" s="24"/>
      <c r="B2401" s="10"/>
      <c r="C2401" s="10"/>
      <c r="D2401" s="10"/>
      <c r="E2401" s="10"/>
      <c r="F2401" s="10"/>
      <c r="G2401" s="10"/>
    </row>
    <row r="2402" ht="15.75" customHeight="1">
      <c r="A2402" s="24"/>
      <c r="B2402" s="10"/>
      <c r="C2402" s="10"/>
      <c r="D2402" s="10"/>
      <c r="E2402" s="10"/>
      <c r="F2402" s="10"/>
      <c r="G2402" s="10"/>
    </row>
    <row r="2403" ht="15.75" customHeight="1">
      <c r="A2403" s="24"/>
      <c r="B2403" s="10"/>
      <c r="C2403" s="10"/>
      <c r="D2403" s="10"/>
      <c r="E2403" s="10"/>
      <c r="F2403" s="10"/>
      <c r="G2403" s="10"/>
    </row>
    <row r="2404" ht="15.75" customHeight="1">
      <c r="A2404" s="24"/>
      <c r="B2404" s="10"/>
      <c r="C2404" s="10"/>
      <c r="D2404" s="10"/>
      <c r="E2404" s="10"/>
      <c r="F2404" s="10"/>
      <c r="G2404" s="10"/>
    </row>
    <row r="2405" ht="15.75" customHeight="1">
      <c r="A2405" s="24"/>
      <c r="B2405" s="10"/>
      <c r="C2405" s="10"/>
      <c r="D2405" s="10"/>
      <c r="E2405" s="10"/>
      <c r="F2405" s="10"/>
      <c r="G2405" s="10"/>
    </row>
    <row r="2406" ht="15.75" customHeight="1">
      <c r="A2406" s="24"/>
      <c r="B2406" s="10"/>
      <c r="C2406" s="10"/>
      <c r="D2406" s="10"/>
      <c r="E2406" s="10"/>
      <c r="F2406" s="10"/>
      <c r="G2406" s="10"/>
    </row>
    <row r="2407" ht="15.75" customHeight="1">
      <c r="A2407" s="24"/>
      <c r="B2407" s="10"/>
      <c r="C2407" s="10"/>
      <c r="D2407" s="10"/>
      <c r="E2407" s="10"/>
      <c r="F2407" s="10"/>
      <c r="G2407" s="10"/>
    </row>
    <row r="2408" ht="15.75" customHeight="1">
      <c r="A2408" s="24"/>
      <c r="B2408" s="10"/>
      <c r="C2408" s="10"/>
      <c r="D2408" s="10"/>
      <c r="E2408" s="10"/>
      <c r="F2408" s="10"/>
      <c r="G2408" s="10"/>
    </row>
    <row r="2409" ht="15.75" customHeight="1">
      <c r="A2409" s="24"/>
      <c r="B2409" s="10"/>
      <c r="C2409" s="10"/>
      <c r="D2409" s="10"/>
      <c r="E2409" s="10"/>
      <c r="F2409" s="10"/>
      <c r="G2409" s="10"/>
    </row>
    <row r="2410" ht="15.75" customHeight="1">
      <c r="A2410" s="24"/>
      <c r="B2410" s="10"/>
      <c r="C2410" s="10"/>
      <c r="D2410" s="10"/>
      <c r="E2410" s="10"/>
      <c r="F2410" s="10"/>
      <c r="G2410" s="10"/>
    </row>
    <row r="2411" ht="15.75" customHeight="1">
      <c r="A2411" s="24"/>
      <c r="B2411" s="10"/>
      <c r="C2411" s="10"/>
      <c r="D2411" s="10"/>
      <c r="E2411" s="10"/>
      <c r="F2411" s="10"/>
      <c r="G2411" s="10"/>
    </row>
    <row r="2412" ht="15.75" customHeight="1">
      <c r="A2412" s="24"/>
      <c r="B2412" s="10"/>
      <c r="C2412" s="10"/>
      <c r="D2412" s="10"/>
      <c r="E2412" s="10"/>
      <c r="F2412" s="10"/>
      <c r="G2412" s="10"/>
    </row>
    <row r="2413" ht="15.75" customHeight="1">
      <c r="A2413" s="24"/>
      <c r="B2413" s="10"/>
      <c r="C2413" s="10"/>
      <c r="D2413" s="10"/>
      <c r="E2413" s="10"/>
      <c r="F2413" s="10"/>
      <c r="G2413" s="10"/>
    </row>
    <row r="2414" ht="15.75" customHeight="1">
      <c r="A2414" s="24"/>
      <c r="B2414" s="10"/>
      <c r="C2414" s="10"/>
      <c r="D2414" s="10"/>
      <c r="E2414" s="10"/>
      <c r="F2414" s="10"/>
      <c r="G2414" s="10"/>
    </row>
    <row r="2415" ht="15.75" customHeight="1">
      <c r="A2415" s="24"/>
      <c r="B2415" s="10"/>
      <c r="C2415" s="10"/>
      <c r="D2415" s="10"/>
      <c r="E2415" s="10"/>
      <c r="F2415" s="10"/>
      <c r="G2415" s="10"/>
    </row>
    <row r="2416" ht="15.75" customHeight="1">
      <c r="A2416" s="24"/>
      <c r="B2416" s="10"/>
      <c r="C2416" s="10"/>
      <c r="D2416" s="10"/>
      <c r="E2416" s="10"/>
      <c r="F2416" s="10"/>
      <c r="G2416" s="10"/>
    </row>
    <row r="2417" ht="15.75" customHeight="1">
      <c r="A2417" s="24"/>
      <c r="B2417" s="10"/>
      <c r="C2417" s="10"/>
      <c r="D2417" s="10"/>
      <c r="E2417" s="10"/>
      <c r="F2417" s="10"/>
      <c r="G2417" s="10"/>
    </row>
    <row r="2418" ht="15.75" customHeight="1">
      <c r="A2418" s="24"/>
      <c r="B2418" s="10"/>
      <c r="C2418" s="10"/>
      <c r="D2418" s="10"/>
      <c r="E2418" s="10"/>
      <c r="F2418" s="10"/>
      <c r="G2418" s="10"/>
    </row>
    <row r="2419" ht="15.75" customHeight="1">
      <c r="A2419" s="24"/>
      <c r="B2419" s="10"/>
      <c r="C2419" s="10"/>
      <c r="D2419" s="10"/>
      <c r="E2419" s="10"/>
      <c r="F2419" s="10"/>
      <c r="G2419" s="10"/>
    </row>
    <row r="2420" ht="15.75" customHeight="1">
      <c r="A2420" s="24"/>
      <c r="B2420" s="10"/>
      <c r="C2420" s="10"/>
      <c r="D2420" s="10"/>
      <c r="E2420" s="10"/>
      <c r="F2420" s="10"/>
      <c r="G2420" s="10"/>
    </row>
    <row r="2421" ht="15.75" customHeight="1">
      <c r="A2421" s="24"/>
      <c r="B2421" s="10"/>
      <c r="C2421" s="10"/>
      <c r="D2421" s="10"/>
      <c r="E2421" s="10"/>
      <c r="F2421" s="10"/>
      <c r="G2421" s="10"/>
    </row>
    <row r="2422" ht="15.75" customHeight="1">
      <c r="A2422" s="24"/>
      <c r="B2422" s="10"/>
      <c r="C2422" s="10"/>
      <c r="D2422" s="10"/>
      <c r="E2422" s="10"/>
      <c r="F2422" s="10"/>
      <c r="G2422" s="10"/>
    </row>
    <row r="2423" ht="15.75" customHeight="1">
      <c r="A2423" s="24"/>
      <c r="B2423" s="10"/>
      <c r="C2423" s="10"/>
      <c r="D2423" s="10"/>
      <c r="E2423" s="10"/>
      <c r="F2423" s="10"/>
      <c r="G2423" s="10"/>
    </row>
    <row r="2424" ht="15.75" customHeight="1">
      <c r="A2424" s="24"/>
      <c r="B2424" s="10"/>
      <c r="C2424" s="10"/>
      <c r="D2424" s="10"/>
      <c r="E2424" s="10"/>
      <c r="F2424" s="10"/>
      <c r="G2424" s="10"/>
    </row>
    <row r="2425" ht="15.75" customHeight="1">
      <c r="A2425" s="24"/>
      <c r="B2425" s="10"/>
      <c r="C2425" s="10"/>
      <c r="D2425" s="10"/>
      <c r="E2425" s="10"/>
      <c r="F2425" s="10"/>
      <c r="G2425" s="10"/>
    </row>
    <row r="2426" ht="15.75" customHeight="1">
      <c r="A2426" s="24"/>
      <c r="B2426" s="10"/>
      <c r="C2426" s="10"/>
      <c r="D2426" s="10"/>
      <c r="E2426" s="10"/>
      <c r="F2426" s="10"/>
      <c r="G2426" s="10"/>
    </row>
    <row r="2427" ht="15.75" customHeight="1">
      <c r="A2427" s="24"/>
      <c r="B2427" s="10"/>
      <c r="C2427" s="10"/>
      <c r="D2427" s="10"/>
      <c r="E2427" s="10"/>
      <c r="F2427" s="10"/>
      <c r="G2427" s="10"/>
    </row>
    <row r="2428" ht="15.75" customHeight="1">
      <c r="A2428" s="24"/>
      <c r="B2428" s="10"/>
      <c r="C2428" s="10"/>
      <c r="D2428" s="10"/>
      <c r="E2428" s="10"/>
      <c r="F2428" s="10"/>
      <c r="G2428" s="10"/>
    </row>
    <row r="2429" ht="15.75" customHeight="1">
      <c r="A2429" s="24"/>
      <c r="B2429" s="10"/>
      <c r="C2429" s="10"/>
      <c r="D2429" s="10"/>
      <c r="E2429" s="10"/>
      <c r="F2429" s="10"/>
      <c r="G2429" s="10"/>
    </row>
    <row r="2430" ht="15.75" customHeight="1">
      <c r="A2430" s="24"/>
      <c r="B2430" s="10"/>
      <c r="C2430" s="10"/>
      <c r="D2430" s="10"/>
      <c r="E2430" s="10"/>
      <c r="F2430" s="10"/>
      <c r="G2430" s="10"/>
    </row>
    <row r="2431" ht="15.75" customHeight="1">
      <c r="A2431" s="24"/>
      <c r="B2431" s="10"/>
      <c r="C2431" s="10"/>
      <c r="D2431" s="10"/>
      <c r="E2431" s="10"/>
      <c r="F2431" s="10"/>
      <c r="G2431" s="10"/>
    </row>
    <row r="2432" ht="15.75" customHeight="1">
      <c r="A2432" s="24"/>
      <c r="B2432" s="10"/>
      <c r="C2432" s="10"/>
      <c r="D2432" s="10"/>
      <c r="E2432" s="10"/>
      <c r="F2432" s="10"/>
      <c r="G2432" s="10"/>
    </row>
    <row r="2433" ht="15.75" customHeight="1">
      <c r="A2433" s="24"/>
      <c r="B2433" s="10"/>
      <c r="C2433" s="10"/>
      <c r="D2433" s="10"/>
      <c r="E2433" s="10"/>
      <c r="F2433" s="10"/>
      <c r="G2433" s="10"/>
    </row>
    <row r="2434" ht="15.75" customHeight="1">
      <c r="A2434" s="24"/>
      <c r="B2434" s="10"/>
      <c r="C2434" s="10"/>
      <c r="D2434" s="10"/>
      <c r="E2434" s="10"/>
      <c r="F2434" s="10"/>
      <c r="G2434" s="10"/>
    </row>
    <row r="2435" ht="15.75" customHeight="1">
      <c r="A2435" s="24"/>
      <c r="B2435" s="10"/>
      <c r="C2435" s="10"/>
      <c r="D2435" s="10"/>
      <c r="E2435" s="10"/>
      <c r="F2435" s="10"/>
      <c r="G2435" s="10"/>
    </row>
    <row r="2436" ht="15.75" customHeight="1">
      <c r="A2436" s="24"/>
      <c r="B2436" s="10"/>
      <c r="C2436" s="10"/>
      <c r="D2436" s="10"/>
      <c r="E2436" s="10"/>
      <c r="F2436" s="10"/>
      <c r="G2436" s="10"/>
    </row>
    <row r="2437" ht="15.75" customHeight="1">
      <c r="A2437" s="24"/>
      <c r="B2437" s="10"/>
      <c r="C2437" s="10"/>
      <c r="D2437" s="10"/>
      <c r="E2437" s="10"/>
      <c r="F2437" s="10"/>
      <c r="G2437" s="10"/>
    </row>
    <row r="2438" ht="15.75" customHeight="1">
      <c r="A2438" s="24"/>
      <c r="B2438" s="10"/>
      <c r="C2438" s="10"/>
      <c r="D2438" s="10"/>
      <c r="E2438" s="10"/>
      <c r="F2438" s="10"/>
      <c r="G2438" s="10"/>
    </row>
    <row r="2439" ht="15.75" customHeight="1">
      <c r="A2439" s="24"/>
      <c r="B2439" s="10"/>
      <c r="C2439" s="10"/>
      <c r="D2439" s="10"/>
      <c r="E2439" s="10"/>
      <c r="F2439" s="10"/>
      <c r="G2439" s="10"/>
    </row>
    <row r="2440" ht="15.75" customHeight="1">
      <c r="A2440" s="24"/>
      <c r="B2440" s="10"/>
      <c r="C2440" s="10"/>
      <c r="D2440" s="10"/>
      <c r="E2440" s="10"/>
      <c r="F2440" s="10"/>
      <c r="G2440" s="10"/>
    </row>
    <row r="2441" ht="15.75" customHeight="1">
      <c r="A2441" s="24"/>
      <c r="B2441" s="10"/>
      <c r="C2441" s="10"/>
      <c r="D2441" s="10"/>
      <c r="E2441" s="10"/>
      <c r="F2441" s="10"/>
      <c r="G2441" s="10"/>
    </row>
    <row r="2442" ht="15.75" customHeight="1">
      <c r="A2442" s="24"/>
      <c r="B2442" s="10"/>
      <c r="C2442" s="10"/>
      <c r="D2442" s="10"/>
      <c r="E2442" s="10"/>
      <c r="F2442" s="10"/>
      <c r="G2442" s="10"/>
    </row>
    <row r="2443" ht="15.75" customHeight="1">
      <c r="A2443" s="24"/>
      <c r="B2443" s="10"/>
      <c r="C2443" s="10"/>
      <c r="D2443" s="10"/>
      <c r="E2443" s="10"/>
      <c r="F2443" s="10"/>
      <c r="G2443" s="10"/>
    </row>
    <row r="2444" ht="15.75" customHeight="1">
      <c r="A2444" s="24"/>
      <c r="B2444" s="10"/>
      <c r="C2444" s="10"/>
      <c r="D2444" s="10"/>
      <c r="E2444" s="10"/>
      <c r="F2444" s="10"/>
      <c r="G2444" s="10"/>
    </row>
    <row r="2445" ht="15.75" customHeight="1">
      <c r="A2445" s="24"/>
      <c r="B2445" s="10"/>
      <c r="C2445" s="10"/>
      <c r="D2445" s="10"/>
      <c r="E2445" s="10"/>
      <c r="F2445" s="10"/>
      <c r="G2445" s="10"/>
    </row>
    <row r="2446" ht="15.75" customHeight="1">
      <c r="A2446" s="24"/>
      <c r="B2446" s="10"/>
      <c r="C2446" s="10"/>
      <c r="D2446" s="10"/>
      <c r="E2446" s="10"/>
      <c r="F2446" s="10"/>
      <c r="G2446" s="10"/>
    </row>
    <row r="2447" ht="15.75" customHeight="1">
      <c r="A2447" s="24"/>
      <c r="B2447" s="10"/>
      <c r="C2447" s="10"/>
      <c r="D2447" s="10"/>
      <c r="E2447" s="10"/>
      <c r="F2447" s="10"/>
      <c r="G2447" s="10"/>
    </row>
    <row r="2448" ht="15.75" customHeight="1">
      <c r="A2448" s="24"/>
      <c r="B2448" s="10"/>
      <c r="C2448" s="10"/>
      <c r="D2448" s="10"/>
      <c r="E2448" s="10"/>
      <c r="F2448" s="10"/>
      <c r="G2448" s="10"/>
    </row>
    <row r="2449" ht="15.75" customHeight="1">
      <c r="A2449" s="24"/>
      <c r="B2449" s="10"/>
      <c r="C2449" s="10"/>
      <c r="D2449" s="10"/>
      <c r="E2449" s="10"/>
      <c r="F2449" s="10"/>
      <c r="G2449" s="10"/>
    </row>
    <row r="2450" ht="15.75" customHeight="1">
      <c r="A2450" s="24"/>
      <c r="B2450" s="10"/>
      <c r="C2450" s="10"/>
      <c r="D2450" s="10"/>
      <c r="E2450" s="10"/>
      <c r="F2450" s="10"/>
      <c r="G2450" s="10"/>
    </row>
    <row r="2451" ht="15.75" customHeight="1">
      <c r="A2451" s="24"/>
      <c r="B2451" s="10"/>
      <c r="C2451" s="10"/>
      <c r="D2451" s="10"/>
      <c r="E2451" s="10"/>
      <c r="F2451" s="10"/>
      <c r="G2451" s="10"/>
    </row>
    <row r="2452" ht="15.75" customHeight="1">
      <c r="A2452" s="24"/>
      <c r="B2452" s="10"/>
      <c r="C2452" s="10"/>
      <c r="D2452" s="10"/>
      <c r="E2452" s="10"/>
      <c r="F2452" s="10"/>
      <c r="G2452" s="10"/>
    </row>
    <row r="2453" ht="15.75" customHeight="1">
      <c r="A2453" s="24"/>
      <c r="B2453" s="10"/>
      <c r="C2453" s="10"/>
      <c r="D2453" s="10"/>
      <c r="E2453" s="10"/>
      <c r="F2453" s="10"/>
      <c r="G2453" s="10"/>
    </row>
    <row r="2454" ht="15.75" customHeight="1">
      <c r="A2454" s="24"/>
      <c r="B2454" s="10"/>
      <c r="C2454" s="10"/>
      <c r="D2454" s="10"/>
      <c r="E2454" s="10"/>
      <c r="F2454" s="10"/>
      <c r="G2454" s="10"/>
    </row>
    <row r="2455" ht="15.75" customHeight="1">
      <c r="A2455" s="24"/>
      <c r="B2455" s="10"/>
      <c r="C2455" s="10"/>
      <c r="D2455" s="10"/>
      <c r="E2455" s="10"/>
      <c r="F2455" s="10"/>
      <c r="G2455" s="10"/>
    </row>
    <row r="2456" ht="15.75" customHeight="1">
      <c r="A2456" s="24"/>
      <c r="B2456" s="10"/>
      <c r="C2456" s="10"/>
      <c r="D2456" s="10"/>
      <c r="E2456" s="10"/>
      <c r="F2456" s="10"/>
      <c r="G2456" s="10"/>
    </row>
    <row r="2457" ht="15.75" customHeight="1">
      <c r="A2457" s="24"/>
      <c r="B2457" s="10"/>
      <c r="C2457" s="10"/>
      <c r="D2457" s="10"/>
      <c r="E2457" s="10"/>
      <c r="F2457" s="10"/>
      <c r="G2457" s="10"/>
    </row>
    <row r="2458" ht="15.75" customHeight="1">
      <c r="A2458" s="24"/>
      <c r="B2458" s="10"/>
      <c r="C2458" s="10"/>
      <c r="D2458" s="10"/>
      <c r="E2458" s="10"/>
      <c r="F2458" s="10"/>
      <c r="G2458" s="10"/>
    </row>
    <row r="2459" ht="15.75" customHeight="1">
      <c r="A2459" s="24"/>
      <c r="B2459" s="10"/>
      <c r="C2459" s="10"/>
      <c r="D2459" s="10"/>
      <c r="E2459" s="10"/>
      <c r="F2459" s="10"/>
      <c r="G2459" s="10"/>
    </row>
    <row r="2460" ht="15.75" customHeight="1">
      <c r="A2460" s="24"/>
      <c r="B2460" s="10"/>
      <c r="C2460" s="10"/>
      <c r="D2460" s="10"/>
      <c r="E2460" s="10"/>
      <c r="F2460" s="10"/>
      <c r="G2460" s="10"/>
    </row>
    <row r="2461" ht="15.75" customHeight="1">
      <c r="A2461" s="24"/>
      <c r="B2461" s="10"/>
      <c r="C2461" s="10"/>
      <c r="D2461" s="10"/>
      <c r="E2461" s="10"/>
      <c r="F2461" s="10"/>
      <c r="G2461" s="10"/>
    </row>
    <row r="2462" ht="15.75" customHeight="1">
      <c r="A2462" s="24"/>
      <c r="B2462" s="10"/>
      <c r="C2462" s="10"/>
      <c r="D2462" s="10"/>
      <c r="E2462" s="10"/>
      <c r="F2462" s="10"/>
      <c r="G2462" s="10"/>
    </row>
    <row r="2463" ht="15.75" customHeight="1">
      <c r="A2463" s="24"/>
      <c r="B2463" s="10"/>
      <c r="C2463" s="10"/>
      <c r="D2463" s="10"/>
      <c r="E2463" s="10"/>
      <c r="F2463" s="10"/>
      <c r="G2463" s="10"/>
    </row>
    <row r="2464" ht="15.75" customHeight="1">
      <c r="A2464" s="24"/>
      <c r="B2464" s="10"/>
      <c r="C2464" s="10"/>
      <c r="D2464" s="10"/>
      <c r="E2464" s="10"/>
      <c r="F2464" s="10"/>
      <c r="G2464" s="10"/>
    </row>
    <row r="2465" ht="15.75" customHeight="1">
      <c r="A2465" s="24"/>
      <c r="B2465" s="10"/>
      <c r="C2465" s="10"/>
      <c r="D2465" s="10"/>
      <c r="E2465" s="10"/>
      <c r="F2465" s="10"/>
      <c r="G2465" s="10"/>
    </row>
    <row r="2466" ht="15.75" customHeight="1">
      <c r="A2466" s="24"/>
      <c r="B2466" s="10"/>
      <c r="C2466" s="10"/>
      <c r="D2466" s="10"/>
      <c r="E2466" s="10"/>
      <c r="F2466" s="10"/>
      <c r="G2466" s="10"/>
    </row>
    <row r="2467" ht="15.75" customHeight="1">
      <c r="A2467" s="24"/>
      <c r="B2467" s="10"/>
      <c r="C2467" s="10"/>
      <c r="D2467" s="10"/>
      <c r="E2467" s="10"/>
      <c r="F2467" s="10"/>
      <c r="G2467" s="10"/>
    </row>
    <row r="2468" ht="15.75" customHeight="1">
      <c r="A2468" s="24"/>
      <c r="B2468" s="10"/>
      <c r="C2468" s="10"/>
      <c r="D2468" s="10"/>
      <c r="E2468" s="10"/>
      <c r="F2468" s="10"/>
      <c r="G2468" s="10"/>
    </row>
    <row r="2469" ht="15.75" customHeight="1">
      <c r="A2469" s="24"/>
      <c r="B2469" s="10"/>
      <c r="C2469" s="10"/>
      <c r="D2469" s="10"/>
      <c r="E2469" s="10"/>
      <c r="F2469" s="10"/>
      <c r="G2469" s="10"/>
    </row>
    <row r="2470" ht="15.75" customHeight="1">
      <c r="A2470" s="24"/>
      <c r="B2470" s="10"/>
      <c r="C2470" s="10"/>
      <c r="D2470" s="10"/>
      <c r="E2470" s="10"/>
      <c r="F2470" s="10"/>
      <c r="G2470" s="10"/>
    </row>
    <row r="2471" ht="15.75" customHeight="1">
      <c r="A2471" s="24"/>
      <c r="B2471" s="10"/>
      <c r="C2471" s="10"/>
      <c r="D2471" s="10"/>
      <c r="E2471" s="10"/>
      <c r="F2471" s="10"/>
      <c r="G2471" s="10"/>
    </row>
    <row r="2472" ht="15.75" customHeight="1">
      <c r="A2472" s="24"/>
      <c r="B2472" s="10"/>
      <c r="C2472" s="10"/>
      <c r="D2472" s="10"/>
      <c r="E2472" s="10"/>
      <c r="F2472" s="10"/>
      <c r="G2472" s="10"/>
    </row>
    <row r="2473" ht="15.75" customHeight="1">
      <c r="A2473" s="24"/>
      <c r="B2473" s="10"/>
      <c r="C2473" s="10"/>
      <c r="D2473" s="10"/>
      <c r="E2473" s="10"/>
      <c r="F2473" s="10"/>
      <c r="G2473" s="10"/>
    </row>
    <row r="2474" ht="15.75" customHeight="1">
      <c r="A2474" s="24"/>
      <c r="B2474" s="10"/>
      <c r="C2474" s="10"/>
      <c r="D2474" s="10"/>
      <c r="E2474" s="10"/>
      <c r="F2474" s="10"/>
      <c r="G2474" s="10"/>
    </row>
    <row r="2475" ht="15.75" customHeight="1">
      <c r="A2475" s="24"/>
      <c r="B2475" s="10"/>
      <c r="C2475" s="10"/>
      <c r="D2475" s="10"/>
      <c r="E2475" s="10"/>
      <c r="F2475" s="10"/>
      <c r="G2475" s="10"/>
    </row>
    <row r="2476" ht="15.75" customHeight="1">
      <c r="A2476" s="24"/>
      <c r="B2476" s="10"/>
      <c r="C2476" s="10"/>
      <c r="D2476" s="10"/>
      <c r="E2476" s="10"/>
      <c r="F2476" s="10"/>
      <c r="G2476" s="10"/>
    </row>
    <row r="2477" ht="15.75" customHeight="1">
      <c r="A2477" s="24"/>
      <c r="B2477" s="10"/>
      <c r="C2477" s="10"/>
      <c r="D2477" s="10"/>
      <c r="E2477" s="10"/>
      <c r="F2477" s="10"/>
      <c r="G2477" s="10"/>
    </row>
    <row r="2478" ht="15.75" customHeight="1">
      <c r="A2478" s="24"/>
      <c r="B2478" s="10"/>
      <c r="C2478" s="10"/>
      <c r="D2478" s="10"/>
      <c r="E2478" s="10"/>
      <c r="F2478" s="10"/>
      <c r="G2478" s="10"/>
    </row>
    <row r="2479" ht="15.75" customHeight="1">
      <c r="A2479" s="24"/>
      <c r="B2479" s="10"/>
      <c r="C2479" s="10"/>
      <c r="D2479" s="10"/>
      <c r="E2479" s="10"/>
      <c r="F2479" s="10"/>
      <c r="G2479" s="10"/>
    </row>
    <row r="2480" ht="15.75" customHeight="1">
      <c r="A2480" s="24"/>
      <c r="B2480" s="10"/>
      <c r="C2480" s="10"/>
      <c r="D2480" s="10"/>
      <c r="E2480" s="10"/>
      <c r="F2480" s="10"/>
      <c r="G2480" s="10"/>
    </row>
    <row r="2481" ht="15.75" customHeight="1">
      <c r="A2481" s="24"/>
      <c r="B2481" s="10"/>
      <c r="C2481" s="10"/>
      <c r="D2481" s="10"/>
      <c r="E2481" s="10"/>
      <c r="F2481" s="10"/>
      <c r="G2481" s="10"/>
    </row>
    <row r="2482" ht="15.75" customHeight="1">
      <c r="A2482" s="24"/>
      <c r="B2482" s="10"/>
      <c r="C2482" s="10"/>
      <c r="D2482" s="10"/>
      <c r="E2482" s="10"/>
      <c r="F2482" s="10"/>
      <c r="G2482" s="10"/>
    </row>
    <row r="2483" ht="15.75" customHeight="1">
      <c r="A2483" s="24"/>
      <c r="B2483" s="10"/>
      <c r="C2483" s="10"/>
      <c r="D2483" s="10"/>
      <c r="E2483" s="10"/>
      <c r="F2483" s="10"/>
      <c r="G2483" s="10"/>
    </row>
    <row r="2484" ht="15.75" customHeight="1">
      <c r="A2484" s="24"/>
      <c r="B2484" s="10"/>
      <c r="C2484" s="10"/>
      <c r="D2484" s="10"/>
      <c r="E2484" s="10"/>
      <c r="F2484" s="10"/>
      <c r="G2484" s="10"/>
    </row>
    <row r="2485" ht="15.75" customHeight="1">
      <c r="A2485" s="24"/>
      <c r="B2485" s="10"/>
      <c r="C2485" s="10"/>
      <c r="D2485" s="10"/>
      <c r="E2485" s="10"/>
      <c r="F2485" s="10"/>
      <c r="G2485" s="10"/>
    </row>
    <row r="2486" ht="15.75" customHeight="1">
      <c r="A2486" s="24"/>
      <c r="B2486" s="10"/>
      <c r="C2486" s="10"/>
      <c r="D2486" s="10"/>
      <c r="E2486" s="10"/>
      <c r="F2486" s="10"/>
      <c r="G2486" s="10"/>
    </row>
    <row r="2487" ht="15.75" customHeight="1">
      <c r="A2487" s="24"/>
      <c r="B2487" s="10"/>
      <c r="C2487" s="10"/>
      <c r="D2487" s="10"/>
      <c r="E2487" s="10"/>
      <c r="F2487" s="10"/>
      <c r="G2487" s="10"/>
    </row>
    <row r="2488" ht="15.75" customHeight="1">
      <c r="A2488" s="24"/>
      <c r="B2488" s="10"/>
      <c r="C2488" s="10"/>
      <c r="D2488" s="10"/>
      <c r="E2488" s="10"/>
      <c r="F2488" s="10"/>
      <c r="G2488" s="10"/>
    </row>
    <row r="2489" ht="15.75" customHeight="1">
      <c r="A2489" s="24"/>
      <c r="B2489" s="10"/>
      <c r="C2489" s="10"/>
      <c r="D2489" s="10"/>
      <c r="E2489" s="10"/>
      <c r="F2489" s="10"/>
      <c r="G2489" s="10"/>
    </row>
    <row r="2490" ht="15.75" customHeight="1">
      <c r="A2490" s="24"/>
      <c r="B2490" s="10"/>
      <c r="C2490" s="10"/>
      <c r="D2490" s="10"/>
      <c r="E2490" s="10"/>
      <c r="F2490" s="10"/>
      <c r="G2490" s="10"/>
    </row>
    <row r="2491" ht="15.75" customHeight="1">
      <c r="A2491" s="24"/>
      <c r="B2491" s="10"/>
      <c r="C2491" s="10"/>
      <c r="D2491" s="10"/>
      <c r="E2491" s="10"/>
      <c r="F2491" s="10"/>
      <c r="G2491" s="10"/>
    </row>
    <row r="2492" ht="15.75" customHeight="1">
      <c r="A2492" s="24"/>
      <c r="B2492" s="10"/>
      <c r="C2492" s="10"/>
      <c r="D2492" s="10"/>
      <c r="E2492" s="10"/>
      <c r="F2492" s="10"/>
      <c r="G2492" s="10"/>
    </row>
    <row r="2493" ht="15.75" customHeight="1">
      <c r="A2493" s="24"/>
      <c r="B2493" s="10"/>
      <c r="C2493" s="10"/>
      <c r="D2493" s="10"/>
      <c r="E2493" s="10"/>
      <c r="F2493" s="10"/>
      <c r="G2493" s="10"/>
    </row>
    <row r="2494" ht="15.75" customHeight="1">
      <c r="A2494" s="24"/>
      <c r="B2494" s="10"/>
      <c r="C2494" s="10"/>
      <c r="D2494" s="10"/>
      <c r="E2494" s="10"/>
      <c r="F2494" s="10"/>
      <c r="G2494" s="10"/>
    </row>
    <row r="2495" ht="15.75" customHeight="1">
      <c r="A2495" s="24"/>
      <c r="B2495" s="10"/>
      <c r="C2495" s="10"/>
      <c r="D2495" s="10"/>
      <c r="E2495" s="10"/>
      <c r="F2495" s="10"/>
      <c r="G2495" s="10"/>
    </row>
    <row r="2496" ht="15.75" customHeight="1">
      <c r="A2496" s="24"/>
      <c r="B2496" s="10"/>
      <c r="C2496" s="10"/>
      <c r="D2496" s="10"/>
      <c r="E2496" s="10"/>
      <c r="F2496" s="10"/>
      <c r="G2496" s="10"/>
    </row>
    <row r="2497" ht="15.75" customHeight="1">
      <c r="A2497" s="24"/>
      <c r="B2497" s="10"/>
      <c r="C2497" s="10"/>
      <c r="D2497" s="10"/>
      <c r="E2497" s="10"/>
      <c r="F2497" s="10"/>
      <c r="G2497" s="10"/>
    </row>
    <row r="2498" ht="15.75" customHeight="1">
      <c r="A2498" s="24"/>
      <c r="B2498" s="10"/>
      <c r="C2498" s="10"/>
      <c r="D2498" s="10"/>
      <c r="E2498" s="10"/>
      <c r="F2498" s="10"/>
      <c r="G2498" s="10"/>
    </row>
    <row r="2499" ht="15.75" customHeight="1">
      <c r="A2499" s="24"/>
      <c r="B2499" s="10"/>
      <c r="C2499" s="10"/>
      <c r="D2499" s="10"/>
      <c r="E2499" s="10"/>
      <c r="F2499" s="10"/>
      <c r="G2499" s="10"/>
    </row>
    <row r="2500" ht="15.75" customHeight="1">
      <c r="A2500" s="24"/>
      <c r="B2500" s="10"/>
      <c r="C2500" s="10"/>
      <c r="D2500" s="10"/>
      <c r="E2500" s="10"/>
      <c r="F2500" s="10"/>
      <c r="G2500" s="10"/>
    </row>
    <row r="2501" ht="15.75" customHeight="1">
      <c r="A2501" s="24"/>
      <c r="B2501" s="10"/>
      <c r="C2501" s="10"/>
      <c r="D2501" s="10"/>
      <c r="E2501" s="10"/>
      <c r="F2501" s="10"/>
      <c r="G2501" s="10"/>
    </row>
    <row r="2502" ht="15.75" customHeight="1">
      <c r="A2502" s="24"/>
      <c r="B2502" s="10"/>
      <c r="C2502" s="10"/>
      <c r="D2502" s="10"/>
      <c r="E2502" s="10"/>
      <c r="F2502" s="10"/>
      <c r="G2502" s="10"/>
    </row>
    <row r="2503" ht="15.75" customHeight="1">
      <c r="A2503" s="24"/>
      <c r="B2503" s="10"/>
      <c r="C2503" s="10"/>
      <c r="D2503" s="10"/>
      <c r="E2503" s="10"/>
      <c r="F2503" s="10"/>
      <c r="G2503" s="10"/>
    </row>
    <row r="2504" ht="15.75" customHeight="1">
      <c r="A2504" s="24"/>
      <c r="B2504" s="10"/>
      <c r="C2504" s="10"/>
      <c r="D2504" s="10"/>
      <c r="E2504" s="10"/>
      <c r="F2504" s="10"/>
      <c r="G2504" s="10"/>
    </row>
    <row r="2505" ht="15.75" customHeight="1">
      <c r="A2505" s="24"/>
      <c r="B2505" s="10"/>
      <c r="C2505" s="10"/>
      <c r="D2505" s="10"/>
      <c r="E2505" s="10"/>
      <c r="F2505" s="10"/>
      <c r="G2505" s="10"/>
    </row>
    <row r="2506" ht="15.75" customHeight="1">
      <c r="A2506" s="24"/>
      <c r="B2506" s="10"/>
      <c r="C2506" s="10"/>
      <c r="D2506" s="10"/>
      <c r="E2506" s="10"/>
      <c r="F2506" s="10"/>
      <c r="G2506" s="10"/>
    </row>
    <row r="2507" ht="15.75" customHeight="1">
      <c r="A2507" s="24"/>
      <c r="B2507" s="10"/>
      <c r="C2507" s="10"/>
      <c r="D2507" s="10"/>
      <c r="E2507" s="10"/>
      <c r="F2507" s="10"/>
      <c r="G2507" s="10"/>
    </row>
    <row r="2508" ht="15.75" customHeight="1">
      <c r="A2508" s="24"/>
      <c r="B2508" s="10"/>
      <c r="C2508" s="10"/>
      <c r="D2508" s="10"/>
      <c r="E2508" s="10"/>
      <c r="F2508" s="10"/>
      <c r="G2508" s="10"/>
    </row>
    <row r="2509" ht="15.75" customHeight="1">
      <c r="A2509" s="24"/>
      <c r="B2509" s="10"/>
      <c r="C2509" s="10"/>
      <c r="D2509" s="10"/>
      <c r="E2509" s="10"/>
      <c r="F2509" s="10"/>
      <c r="G2509" s="10"/>
    </row>
    <row r="2510" ht="15.75" customHeight="1">
      <c r="A2510" s="24"/>
      <c r="B2510" s="10"/>
      <c r="C2510" s="10"/>
      <c r="D2510" s="10"/>
      <c r="E2510" s="10"/>
      <c r="F2510" s="10"/>
      <c r="G2510" s="10"/>
    </row>
    <row r="2511" ht="15.75" customHeight="1">
      <c r="A2511" s="24"/>
      <c r="B2511" s="10"/>
      <c r="C2511" s="10"/>
      <c r="D2511" s="10"/>
      <c r="E2511" s="10"/>
      <c r="F2511" s="10"/>
      <c r="G2511" s="10"/>
    </row>
    <row r="2512" ht="15.75" customHeight="1">
      <c r="A2512" s="24"/>
      <c r="B2512" s="10"/>
      <c r="C2512" s="10"/>
      <c r="D2512" s="10"/>
      <c r="E2512" s="10"/>
      <c r="F2512" s="10"/>
      <c r="G2512" s="10"/>
    </row>
    <row r="2513" ht="15.75" customHeight="1">
      <c r="A2513" s="24"/>
      <c r="B2513" s="10"/>
      <c r="C2513" s="10"/>
      <c r="D2513" s="10"/>
      <c r="E2513" s="10"/>
      <c r="F2513" s="10"/>
      <c r="G2513" s="10"/>
    </row>
    <row r="2514" ht="15.75" customHeight="1">
      <c r="A2514" s="24"/>
      <c r="B2514" s="10"/>
      <c r="C2514" s="10"/>
      <c r="D2514" s="10"/>
      <c r="E2514" s="10"/>
      <c r="F2514" s="10"/>
      <c r="G2514" s="10"/>
    </row>
    <row r="2515" ht="15.75" customHeight="1">
      <c r="A2515" s="24"/>
      <c r="B2515" s="10"/>
      <c r="C2515" s="10"/>
      <c r="D2515" s="10"/>
      <c r="E2515" s="10"/>
      <c r="F2515" s="10"/>
      <c r="G2515" s="10"/>
    </row>
    <row r="2516" ht="15.75" customHeight="1">
      <c r="A2516" s="24"/>
      <c r="B2516" s="10"/>
      <c r="C2516" s="10"/>
      <c r="D2516" s="10"/>
      <c r="E2516" s="10"/>
      <c r="F2516" s="10"/>
      <c r="G2516" s="10"/>
    </row>
    <row r="2517" ht="15.75" customHeight="1">
      <c r="A2517" s="24"/>
      <c r="B2517" s="10"/>
      <c r="C2517" s="10"/>
      <c r="D2517" s="10"/>
      <c r="E2517" s="10"/>
      <c r="F2517" s="10"/>
      <c r="G2517" s="10"/>
    </row>
    <row r="2518" ht="15.75" customHeight="1">
      <c r="A2518" s="24"/>
      <c r="B2518" s="10"/>
      <c r="C2518" s="10"/>
      <c r="D2518" s="10"/>
      <c r="E2518" s="10"/>
      <c r="F2518" s="10"/>
      <c r="G2518" s="10"/>
    </row>
    <row r="2519" ht="15.75" customHeight="1">
      <c r="A2519" s="24"/>
      <c r="B2519" s="10"/>
      <c r="C2519" s="10"/>
      <c r="D2519" s="10"/>
      <c r="E2519" s="10"/>
      <c r="F2519" s="10"/>
      <c r="G2519" s="10"/>
    </row>
    <row r="2520" ht="15.75" customHeight="1">
      <c r="A2520" s="24"/>
      <c r="B2520" s="10"/>
      <c r="C2520" s="10"/>
      <c r="D2520" s="10"/>
      <c r="E2520" s="10"/>
      <c r="F2520" s="10"/>
      <c r="G2520" s="10"/>
    </row>
    <row r="2521" ht="15.75" customHeight="1">
      <c r="A2521" s="24"/>
      <c r="B2521" s="10"/>
      <c r="C2521" s="10"/>
      <c r="D2521" s="10"/>
      <c r="E2521" s="10"/>
      <c r="F2521" s="10"/>
      <c r="G2521" s="10"/>
    </row>
    <row r="2522" ht="15.75" customHeight="1">
      <c r="A2522" s="24"/>
      <c r="B2522" s="10"/>
      <c r="C2522" s="10"/>
      <c r="D2522" s="10"/>
      <c r="E2522" s="10"/>
      <c r="F2522" s="10"/>
      <c r="G2522" s="10"/>
    </row>
    <row r="2523" ht="15.75" customHeight="1">
      <c r="A2523" s="24"/>
      <c r="B2523" s="10"/>
      <c r="C2523" s="10"/>
      <c r="D2523" s="10"/>
      <c r="E2523" s="10"/>
      <c r="F2523" s="10"/>
      <c r="G2523" s="10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3" width="8.0"/>
    <col customWidth="1" min="4" max="4" width="20.0"/>
    <col customWidth="1" min="5" max="5" width="7.0"/>
    <col customWidth="1" min="6" max="6" width="22.0"/>
    <col customWidth="1" min="7" max="7" width="34.0"/>
    <col customWidth="1" min="8" max="8" width="26.0"/>
    <col customWidth="1" min="9" max="9" width="16.0"/>
    <col customWidth="1" min="10" max="10" width="30.0"/>
    <col customWidth="1" min="11" max="11" width="26.0"/>
    <col customWidth="1" min="12" max="12" width="30.0"/>
    <col customWidth="1" min="13" max="13" width="8.0"/>
    <col customWidth="1" min="14" max="14" width="38.0"/>
    <col customWidth="1" min="15" max="15" width="14.0"/>
  </cols>
  <sheetData>
    <row r="1" ht="15.75" customHeight="1">
      <c r="B1" s="8" t="s">
        <v>3</v>
      </c>
      <c r="C1" s="8" t="s">
        <v>5</v>
      </c>
      <c r="D1" s="8" t="s">
        <v>9</v>
      </c>
      <c r="E1" s="8" t="s">
        <v>12</v>
      </c>
      <c r="F1" s="8" t="s">
        <v>14</v>
      </c>
      <c r="G1" s="8" t="s">
        <v>17</v>
      </c>
      <c r="H1" s="8" t="s">
        <v>20</v>
      </c>
      <c r="I1" s="8" t="s">
        <v>22</v>
      </c>
      <c r="J1" s="8" t="s">
        <v>24</v>
      </c>
      <c r="K1" s="8" t="s">
        <v>26</v>
      </c>
      <c r="L1" s="8" t="s">
        <v>27</v>
      </c>
      <c r="M1" s="8" t="s">
        <v>29</v>
      </c>
      <c r="N1" s="8" t="s">
        <v>31</v>
      </c>
      <c r="O1" s="8" t="s">
        <v>34</v>
      </c>
      <c r="P1" s="8" t="s">
        <v>35</v>
      </c>
    </row>
    <row r="2" ht="15.75" customHeight="1">
      <c r="B2" s="31" t="s">
        <v>3168</v>
      </c>
      <c r="C2" s="31" t="s">
        <v>3171</v>
      </c>
      <c r="D2" s="31" t="s">
        <v>46</v>
      </c>
      <c r="E2" s="31"/>
      <c r="F2" s="31"/>
      <c r="G2" s="31" t="s">
        <v>7</v>
      </c>
      <c r="H2" s="31" t="s">
        <v>3174</v>
      </c>
      <c r="I2" s="31"/>
      <c r="J2" s="52" t="s">
        <v>3177</v>
      </c>
      <c r="K2" s="32" t="s">
        <v>3181</v>
      </c>
      <c r="L2" s="31" t="s">
        <v>3202</v>
      </c>
      <c r="M2" s="31" t="s">
        <v>3204</v>
      </c>
      <c r="N2" s="31">
        <v>2006.0</v>
      </c>
      <c r="O2" s="31"/>
      <c r="P2" s="31" t="s">
        <v>92</v>
      </c>
    </row>
    <row r="3" ht="15.75" customHeight="1">
      <c r="B3" s="31" t="s">
        <v>3207</v>
      </c>
      <c r="C3" s="31" t="s">
        <v>3171</v>
      </c>
      <c r="D3" s="31" t="s">
        <v>46</v>
      </c>
      <c r="E3" s="31"/>
      <c r="F3" s="31"/>
      <c r="G3" s="31" t="s">
        <v>7</v>
      </c>
      <c r="H3" s="31" t="s">
        <v>3211</v>
      </c>
      <c r="I3" s="31"/>
      <c r="J3" s="52" t="s">
        <v>3212</v>
      </c>
      <c r="K3" s="32" t="s">
        <v>3215</v>
      </c>
      <c r="L3" s="31" t="s">
        <v>3228</v>
      </c>
      <c r="M3" s="31" t="s">
        <v>3230</v>
      </c>
      <c r="N3" s="31">
        <v>2025.0</v>
      </c>
      <c r="O3" s="31"/>
      <c r="P3" s="31" t="s">
        <v>92</v>
      </c>
    </row>
    <row r="4" ht="15.75" customHeight="1">
      <c r="B4" s="31" t="s">
        <v>3233</v>
      </c>
      <c r="C4" s="31" t="s">
        <v>3234</v>
      </c>
      <c r="D4" s="31" t="s">
        <v>46</v>
      </c>
      <c r="E4" s="31"/>
      <c r="F4" s="31"/>
      <c r="G4" s="31" t="s">
        <v>7</v>
      </c>
      <c r="H4" s="31" t="s">
        <v>3237</v>
      </c>
      <c r="I4" s="31"/>
      <c r="J4" s="52" t="s">
        <v>3239</v>
      </c>
      <c r="K4" s="32" t="s">
        <v>3241</v>
      </c>
      <c r="L4" s="31" t="s">
        <v>3256</v>
      </c>
      <c r="M4" s="31" t="s">
        <v>3258</v>
      </c>
      <c r="N4" s="31">
        <v>1993.0</v>
      </c>
      <c r="O4" s="31"/>
      <c r="P4" s="31" t="s">
        <v>92</v>
      </c>
    </row>
    <row r="5" ht="15.75" customHeight="1">
      <c r="B5" s="31" t="s">
        <v>3261</v>
      </c>
      <c r="C5" s="31" t="s">
        <v>3171</v>
      </c>
      <c r="D5" s="31" t="s">
        <v>46</v>
      </c>
      <c r="E5" s="31"/>
      <c r="F5" s="31"/>
      <c r="G5" s="31" t="s">
        <v>7</v>
      </c>
      <c r="H5" s="31" t="s">
        <v>3265</v>
      </c>
      <c r="I5" s="31"/>
      <c r="J5" s="52" t="s">
        <v>3266</v>
      </c>
      <c r="K5" s="32" t="s">
        <v>3268</v>
      </c>
      <c r="L5" s="31" t="s">
        <v>3281</v>
      </c>
      <c r="M5" s="31" t="s">
        <v>3282</v>
      </c>
      <c r="N5" s="31">
        <v>1955.0</v>
      </c>
      <c r="O5" s="31"/>
      <c r="P5" s="31" t="s">
        <v>92</v>
      </c>
    </row>
    <row r="6" ht="15.75" customHeight="1">
      <c r="B6" s="31" t="s">
        <v>3285</v>
      </c>
      <c r="C6" s="31" t="s">
        <v>3171</v>
      </c>
      <c r="D6" s="31" t="s">
        <v>46</v>
      </c>
      <c r="E6" s="31"/>
      <c r="F6" s="31"/>
      <c r="G6" s="31" t="s">
        <v>7</v>
      </c>
      <c r="H6" s="31" t="s">
        <v>3289</v>
      </c>
      <c r="I6" s="30"/>
      <c r="J6" s="52" t="s">
        <v>3293</v>
      </c>
      <c r="K6" s="32" t="s">
        <v>3294</v>
      </c>
      <c r="L6" s="31" t="s">
        <v>3309</v>
      </c>
      <c r="M6" s="31" t="s">
        <v>3310</v>
      </c>
      <c r="N6" s="31">
        <v>1994.0</v>
      </c>
      <c r="O6" s="31"/>
      <c r="P6" s="31" t="s">
        <v>92</v>
      </c>
    </row>
    <row r="7" ht="15.75" customHeight="1">
      <c r="B7" s="31" t="s">
        <v>3313</v>
      </c>
      <c r="C7" s="31" t="s">
        <v>3171</v>
      </c>
      <c r="D7" s="31" t="s">
        <v>46</v>
      </c>
      <c r="E7" s="31"/>
      <c r="F7" s="31"/>
      <c r="G7" s="31" t="s">
        <v>7</v>
      </c>
      <c r="H7" s="31" t="s">
        <v>3316</v>
      </c>
      <c r="I7" s="31"/>
      <c r="J7" s="52" t="s">
        <v>3317</v>
      </c>
      <c r="K7" s="32" t="s">
        <v>3320</v>
      </c>
      <c r="L7" s="31" t="s">
        <v>3333</v>
      </c>
      <c r="M7" s="31" t="s">
        <v>3334</v>
      </c>
      <c r="N7" s="31">
        <v>2009.0</v>
      </c>
      <c r="O7" s="31"/>
      <c r="P7" s="31" t="s">
        <v>92</v>
      </c>
    </row>
    <row r="8" ht="15.75" customHeight="1">
      <c r="B8" s="31" t="s">
        <v>3335</v>
      </c>
      <c r="C8" s="31" t="s">
        <v>3171</v>
      </c>
      <c r="D8" s="31" t="s">
        <v>46</v>
      </c>
      <c r="E8" s="31" t="s">
        <v>318</v>
      </c>
      <c r="F8" s="31">
        <v>44500.0</v>
      </c>
      <c r="G8" s="31" t="s">
        <v>7</v>
      </c>
      <c r="H8" s="31" t="s">
        <v>3339</v>
      </c>
      <c r="I8" s="31"/>
      <c r="J8" s="52" t="s">
        <v>3341</v>
      </c>
      <c r="K8" s="32" t="s">
        <v>3343</v>
      </c>
      <c r="L8" s="31" t="s">
        <v>3352</v>
      </c>
      <c r="M8" s="31" t="s">
        <v>3353</v>
      </c>
      <c r="N8" s="31">
        <v>2025.0</v>
      </c>
      <c r="O8" s="31" t="s">
        <v>3354</v>
      </c>
      <c r="P8" s="31" t="s">
        <v>296</v>
      </c>
    </row>
    <row r="9" ht="15.75" customHeight="1">
      <c r="B9" s="31" t="s">
        <v>3357</v>
      </c>
      <c r="C9" s="31" t="s">
        <v>3171</v>
      </c>
      <c r="D9" s="31" t="s">
        <v>46</v>
      </c>
      <c r="E9" s="31" t="s">
        <v>266</v>
      </c>
      <c r="F9" s="31">
        <v>44490.0</v>
      </c>
      <c r="G9" s="31" t="s">
        <v>7</v>
      </c>
      <c r="H9" s="31" t="s">
        <v>3360</v>
      </c>
      <c r="I9" s="31"/>
      <c r="J9" s="52" t="s">
        <v>3362</v>
      </c>
      <c r="K9" s="32" t="s">
        <v>3363</v>
      </c>
      <c r="L9" s="31" t="s">
        <v>3381</v>
      </c>
      <c r="M9" s="31" t="s">
        <v>3383</v>
      </c>
      <c r="N9" s="31">
        <v>1985.0</v>
      </c>
      <c r="O9" s="31" t="s">
        <v>3387</v>
      </c>
      <c r="P9" s="31" t="s">
        <v>296</v>
      </c>
    </row>
    <row r="10" ht="15.75" customHeight="1">
      <c r="B10" s="15" t="s">
        <v>3390</v>
      </c>
      <c r="C10" s="15" t="s">
        <v>3393</v>
      </c>
      <c r="D10" s="15" t="s">
        <v>591</v>
      </c>
      <c r="E10" s="15"/>
      <c r="F10" s="15"/>
      <c r="G10" s="15" t="s">
        <v>7</v>
      </c>
      <c r="H10" s="15" t="s">
        <v>3398</v>
      </c>
      <c r="I10" s="15"/>
      <c r="J10" s="53" t="s">
        <v>3401</v>
      </c>
      <c r="K10" s="25" t="s">
        <v>3407</v>
      </c>
      <c r="L10" s="15"/>
      <c r="M10" s="15"/>
      <c r="N10" s="15"/>
      <c r="O10" s="15"/>
      <c r="P10" s="15" t="s">
        <v>92</v>
      </c>
    </row>
    <row r="11" ht="15.75" customHeight="1">
      <c r="B11" s="15" t="s">
        <v>3427</v>
      </c>
      <c r="C11" s="15" t="s">
        <v>3393</v>
      </c>
      <c r="D11" s="15" t="s">
        <v>591</v>
      </c>
      <c r="E11" s="15"/>
      <c r="F11" s="15"/>
      <c r="G11" s="15" t="s">
        <v>7</v>
      </c>
      <c r="H11" s="15" t="s">
        <v>3431</v>
      </c>
      <c r="I11" s="15"/>
      <c r="J11" s="53" t="s">
        <v>3434</v>
      </c>
      <c r="K11" s="15"/>
      <c r="L11" s="15"/>
      <c r="M11" s="15"/>
      <c r="N11" s="15"/>
      <c r="O11" s="15"/>
      <c r="P11" s="15" t="s">
        <v>92</v>
      </c>
    </row>
    <row r="12" ht="15.75" customHeight="1">
      <c r="B12" s="15" t="s">
        <v>3441</v>
      </c>
      <c r="C12" s="15" t="s">
        <v>3393</v>
      </c>
      <c r="D12" s="15" t="s">
        <v>591</v>
      </c>
      <c r="E12" s="15"/>
      <c r="F12" s="15"/>
      <c r="G12" s="15" t="s">
        <v>7</v>
      </c>
      <c r="H12" s="15" t="s">
        <v>3448</v>
      </c>
      <c r="I12" s="15"/>
      <c r="J12" s="53" t="s">
        <v>3451</v>
      </c>
      <c r="K12" s="15"/>
      <c r="L12" s="15"/>
      <c r="M12" s="15"/>
      <c r="N12" s="15"/>
      <c r="O12" s="15"/>
      <c r="P12" s="15" t="s">
        <v>92</v>
      </c>
    </row>
    <row r="13" ht="15.75" customHeight="1">
      <c r="B13" s="15" t="s">
        <v>3457</v>
      </c>
      <c r="C13" s="15" t="s">
        <v>3393</v>
      </c>
      <c r="D13" s="15" t="s">
        <v>591</v>
      </c>
      <c r="E13" s="15"/>
      <c r="F13" s="15"/>
      <c r="G13" s="15" t="s">
        <v>7</v>
      </c>
      <c r="H13" s="15" t="s">
        <v>3462</v>
      </c>
      <c r="I13" s="15"/>
      <c r="J13" s="53" t="s">
        <v>3464</v>
      </c>
      <c r="K13" s="25" t="s">
        <v>3466</v>
      </c>
      <c r="L13" s="15"/>
      <c r="M13" s="15"/>
      <c r="N13" s="15"/>
      <c r="O13" s="15"/>
      <c r="P13" s="15" t="s">
        <v>92</v>
      </c>
    </row>
    <row r="14" ht="15.75" customHeight="1">
      <c r="B14" s="15" t="s">
        <v>3485</v>
      </c>
      <c r="C14" s="15" t="s">
        <v>3393</v>
      </c>
      <c r="D14" s="15" t="s">
        <v>591</v>
      </c>
      <c r="E14" s="15"/>
      <c r="F14" s="15"/>
      <c r="G14" s="15" t="s">
        <v>7</v>
      </c>
      <c r="H14" s="15" t="s">
        <v>3488</v>
      </c>
      <c r="I14" s="15"/>
      <c r="J14" s="53" t="s">
        <v>3491</v>
      </c>
      <c r="K14" s="25" t="s">
        <v>3494</v>
      </c>
      <c r="L14" s="15"/>
      <c r="M14" s="15"/>
      <c r="N14" s="15"/>
      <c r="O14" s="15"/>
      <c r="P14" s="15" t="s">
        <v>92</v>
      </c>
    </row>
    <row r="15" ht="15.75" customHeight="1">
      <c r="B15" s="15" t="s">
        <v>3527</v>
      </c>
      <c r="C15" s="15" t="s">
        <v>3393</v>
      </c>
      <c r="D15" s="15" t="s">
        <v>591</v>
      </c>
      <c r="E15" s="15"/>
      <c r="F15" s="15">
        <v>44800.0</v>
      </c>
      <c r="G15" s="15" t="s">
        <v>7</v>
      </c>
      <c r="H15" s="15" t="s">
        <v>3533</v>
      </c>
      <c r="I15" s="15"/>
      <c r="J15" s="53" t="s">
        <v>3535</v>
      </c>
      <c r="K15" s="25" t="s">
        <v>3537</v>
      </c>
      <c r="L15" s="30"/>
      <c r="M15" s="15"/>
      <c r="N15" s="15"/>
      <c r="O15" s="15"/>
      <c r="P15" s="15" t="s">
        <v>92</v>
      </c>
    </row>
    <row r="16" ht="15.75" customHeight="1">
      <c r="B16" s="15"/>
      <c r="C16" s="15"/>
      <c r="D16" s="15"/>
      <c r="E16" s="15"/>
      <c r="F16" s="15"/>
      <c r="G16" s="15"/>
      <c r="H16" s="15"/>
      <c r="I16" s="15"/>
      <c r="J16" s="54"/>
      <c r="K16" s="15"/>
      <c r="L16" s="15"/>
      <c r="M16" s="15"/>
      <c r="N16" s="15"/>
      <c r="O16" s="15"/>
      <c r="P16" s="15"/>
    </row>
    <row r="17" ht="15.75" customHeight="1">
      <c r="B17" s="31" t="s">
        <v>3579</v>
      </c>
      <c r="C17" s="31" t="s">
        <v>3171</v>
      </c>
      <c r="D17" s="31" t="s">
        <v>46</v>
      </c>
      <c r="E17" s="31" t="s">
        <v>3581</v>
      </c>
      <c r="F17" s="31">
        <v>49125.0</v>
      </c>
      <c r="G17" s="31" t="s">
        <v>33</v>
      </c>
      <c r="H17" s="31" t="s">
        <v>3585</v>
      </c>
      <c r="I17" s="31"/>
      <c r="J17" s="52" t="s">
        <v>3587</v>
      </c>
      <c r="K17" s="32" t="s">
        <v>3589</v>
      </c>
      <c r="L17" s="31" t="s">
        <v>3615</v>
      </c>
      <c r="M17" s="31" t="s">
        <v>3618</v>
      </c>
      <c r="N17" s="31">
        <v>1990.0</v>
      </c>
      <c r="O17" s="31"/>
      <c r="P17" s="31" t="s">
        <v>92</v>
      </c>
    </row>
    <row r="18" ht="15.75" customHeight="1">
      <c r="B18" s="31" t="s">
        <v>3624</v>
      </c>
      <c r="C18" s="31" t="s">
        <v>3171</v>
      </c>
      <c r="D18" s="31" t="s">
        <v>46</v>
      </c>
      <c r="E18" s="31" t="s">
        <v>1136</v>
      </c>
      <c r="F18" s="31">
        <v>49400.0</v>
      </c>
      <c r="G18" s="31" t="s">
        <v>33</v>
      </c>
      <c r="H18" s="31" t="s">
        <v>3634</v>
      </c>
      <c r="I18" s="31"/>
      <c r="J18" s="52" t="s">
        <v>3635</v>
      </c>
      <c r="K18" s="32" t="s">
        <v>3637</v>
      </c>
      <c r="L18" s="31" t="s">
        <v>3662</v>
      </c>
      <c r="M18" s="31" t="s">
        <v>3664</v>
      </c>
      <c r="N18" s="31">
        <v>2018.0</v>
      </c>
      <c r="O18" s="31"/>
      <c r="P18" s="31" t="s">
        <v>92</v>
      </c>
    </row>
    <row r="19" ht="15.75" customHeight="1">
      <c r="B19" s="15" t="s">
        <v>3669</v>
      </c>
      <c r="C19" s="15" t="s">
        <v>3393</v>
      </c>
      <c r="D19" s="15" t="s">
        <v>591</v>
      </c>
      <c r="E19" s="15"/>
      <c r="F19" s="15">
        <v>49100.0</v>
      </c>
      <c r="G19" s="15" t="s">
        <v>33</v>
      </c>
      <c r="H19" s="15" t="s">
        <v>3674</v>
      </c>
      <c r="I19" s="15"/>
      <c r="J19" s="53" t="s">
        <v>3675</v>
      </c>
      <c r="K19" s="25" t="s">
        <v>3677</v>
      </c>
      <c r="L19" s="30"/>
      <c r="M19" s="15"/>
      <c r="N19" s="15"/>
      <c r="O19" s="15"/>
      <c r="P19" s="15" t="s">
        <v>92</v>
      </c>
    </row>
    <row r="20" ht="15.75" customHeight="1">
      <c r="B20" s="15" t="s">
        <v>3705</v>
      </c>
      <c r="C20" s="15" t="s">
        <v>3393</v>
      </c>
      <c r="D20" s="15" t="s">
        <v>591</v>
      </c>
      <c r="E20" s="15" t="s">
        <v>616</v>
      </c>
      <c r="F20" s="15">
        <v>49100.0</v>
      </c>
      <c r="G20" s="15" t="s">
        <v>33</v>
      </c>
      <c r="H20" s="15" t="s">
        <v>3710</v>
      </c>
      <c r="I20" s="15"/>
      <c r="J20" s="53" t="s">
        <v>3712</v>
      </c>
      <c r="K20" s="25" t="s">
        <v>3715</v>
      </c>
      <c r="L20" s="15"/>
      <c r="M20" s="15"/>
      <c r="N20" s="15"/>
      <c r="O20" s="15"/>
      <c r="P20" s="15" t="s">
        <v>92</v>
      </c>
    </row>
    <row r="21" ht="15.75" customHeight="1">
      <c r="B21" s="15" t="s">
        <v>3728</v>
      </c>
      <c r="C21" s="15" t="s">
        <v>3393</v>
      </c>
      <c r="D21" s="15" t="s">
        <v>591</v>
      </c>
      <c r="E21" s="15" t="s">
        <v>616</v>
      </c>
      <c r="F21" s="15">
        <v>49100.0</v>
      </c>
      <c r="G21" s="15" t="s">
        <v>33</v>
      </c>
      <c r="H21" s="15" t="s">
        <v>3731</v>
      </c>
      <c r="I21" s="15"/>
      <c r="J21" s="53" t="s">
        <v>3733</v>
      </c>
      <c r="K21" s="25" t="s">
        <v>3734</v>
      </c>
      <c r="L21" s="30"/>
      <c r="M21" s="15"/>
      <c r="N21" s="15"/>
      <c r="O21" s="15"/>
      <c r="P21" s="15" t="s">
        <v>92</v>
      </c>
    </row>
    <row r="22" ht="15.75" customHeight="1">
      <c r="B22" s="15" t="s">
        <v>3751</v>
      </c>
      <c r="C22" s="15" t="s">
        <v>3393</v>
      </c>
      <c r="D22" s="15" t="s">
        <v>591</v>
      </c>
      <c r="E22" s="15" t="s">
        <v>1136</v>
      </c>
      <c r="F22" s="15">
        <v>49400.0</v>
      </c>
      <c r="G22" s="15" t="s">
        <v>33</v>
      </c>
      <c r="H22" s="15" t="s">
        <v>3753</v>
      </c>
      <c r="I22" s="15"/>
      <c r="J22" s="53" t="s">
        <v>3755</v>
      </c>
      <c r="K22" s="25" t="s">
        <v>3756</v>
      </c>
      <c r="L22" s="30"/>
      <c r="M22" s="15"/>
      <c r="N22" s="15"/>
      <c r="O22" s="15"/>
      <c r="P22" s="15" t="s">
        <v>92</v>
      </c>
    </row>
    <row r="23" ht="15.75" customHeight="1">
      <c r="B23" s="15"/>
      <c r="C23" s="15"/>
      <c r="D23" s="15"/>
      <c r="E23" s="15"/>
      <c r="F23" s="15"/>
      <c r="G23" s="15"/>
      <c r="H23" s="15"/>
      <c r="I23" s="15"/>
      <c r="J23" s="54"/>
      <c r="K23" s="15"/>
      <c r="L23" s="15"/>
      <c r="M23" s="15"/>
      <c r="N23" s="15"/>
      <c r="O23" s="15"/>
      <c r="P23" s="15"/>
    </row>
    <row r="24" ht="15.75" customHeight="1">
      <c r="B24" s="31" t="s">
        <v>3778</v>
      </c>
      <c r="C24" s="31" t="s">
        <v>3171</v>
      </c>
      <c r="D24" s="31" t="s">
        <v>46</v>
      </c>
      <c r="E24" s="31"/>
      <c r="F24" s="31"/>
      <c r="G24" s="31" t="s">
        <v>52</v>
      </c>
      <c r="H24" s="31" t="s">
        <v>3781</v>
      </c>
      <c r="I24" s="31"/>
      <c r="J24" s="52" t="s">
        <v>3783</v>
      </c>
      <c r="K24" s="32" t="s">
        <v>3786</v>
      </c>
      <c r="L24" s="30"/>
      <c r="M24" s="31"/>
      <c r="N24" s="31"/>
      <c r="O24" s="31"/>
      <c r="P24" s="31" t="s">
        <v>92</v>
      </c>
    </row>
    <row r="25" ht="15.75" customHeight="1">
      <c r="B25" s="15" t="s">
        <v>3808</v>
      </c>
      <c r="C25" s="15" t="s">
        <v>3393</v>
      </c>
      <c r="D25" s="15" t="s">
        <v>591</v>
      </c>
      <c r="E25" s="15"/>
      <c r="F25" s="15"/>
      <c r="G25" s="15" t="s">
        <v>52</v>
      </c>
      <c r="H25" s="15" t="s">
        <v>3812</v>
      </c>
      <c r="I25" s="15"/>
      <c r="J25" s="53" t="s">
        <v>3813</v>
      </c>
      <c r="K25" s="25" t="s">
        <v>3815</v>
      </c>
      <c r="L25" s="30"/>
      <c r="M25" s="15"/>
      <c r="N25" s="15"/>
      <c r="O25" s="15"/>
      <c r="P25" s="15" t="s">
        <v>92</v>
      </c>
    </row>
    <row r="26" ht="15.75" customHeight="1">
      <c r="B26" s="15" t="s">
        <v>3829</v>
      </c>
      <c r="C26" s="15" t="s">
        <v>3393</v>
      </c>
      <c r="D26" s="15" t="s">
        <v>591</v>
      </c>
      <c r="E26" s="15"/>
      <c r="F26" s="15"/>
      <c r="G26" s="15" t="s">
        <v>52</v>
      </c>
      <c r="H26" s="15" t="s">
        <v>3832</v>
      </c>
      <c r="I26" s="15"/>
      <c r="J26" s="53" t="s">
        <v>3833</v>
      </c>
      <c r="K26" s="25" t="s">
        <v>3835</v>
      </c>
      <c r="L26" s="15"/>
      <c r="M26" s="15"/>
      <c r="N26" s="15"/>
      <c r="O26" s="15"/>
      <c r="P26" s="15" t="s">
        <v>92</v>
      </c>
    </row>
    <row r="27" ht="15.75" customHeight="1">
      <c r="B27" s="15" t="s">
        <v>3852</v>
      </c>
      <c r="C27" s="15" t="s">
        <v>3393</v>
      </c>
      <c r="D27" s="15" t="s">
        <v>591</v>
      </c>
      <c r="E27" s="15"/>
      <c r="F27" s="15"/>
      <c r="G27" s="15" t="s">
        <v>52</v>
      </c>
      <c r="H27" s="15" t="s">
        <v>3856</v>
      </c>
      <c r="I27" s="15"/>
      <c r="J27" s="53" t="s">
        <v>3857</v>
      </c>
      <c r="K27" s="25" t="s">
        <v>3858</v>
      </c>
      <c r="L27" s="15"/>
      <c r="M27" s="15"/>
      <c r="N27" s="15"/>
      <c r="O27" s="15"/>
      <c r="P27" s="15" t="s">
        <v>92</v>
      </c>
    </row>
    <row r="28" ht="15.75" customHeight="1">
      <c r="B28" s="15" t="s">
        <v>3872</v>
      </c>
      <c r="C28" s="15" t="s">
        <v>3393</v>
      </c>
      <c r="D28" s="15" t="s">
        <v>591</v>
      </c>
      <c r="E28" s="15"/>
      <c r="F28" s="15"/>
      <c r="G28" s="15" t="s">
        <v>52</v>
      </c>
      <c r="H28" s="15" t="s">
        <v>3874</v>
      </c>
      <c r="I28" s="15"/>
      <c r="J28" s="53" t="s">
        <v>3875</v>
      </c>
      <c r="K28" s="25" t="s">
        <v>3878</v>
      </c>
      <c r="L28" s="30"/>
      <c r="M28" s="15"/>
      <c r="N28" s="15"/>
      <c r="O28" s="15"/>
      <c r="P28" s="15" t="s">
        <v>92</v>
      </c>
    </row>
    <row r="29" ht="15.75" customHeight="1">
      <c r="B29" s="15" t="s">
        <v>3895</v>
      </c>
      <c r="C29" s="15" t="s">
        <v>3393</v>
      </c>
      <c r="D29" s="15" t="s">
        <v>591</v>
      </c>
      <c r="E29" s="15"/>
      <c r="F29" s="15"/>
      <c r="G29" s="15" t="s">
        <v>52</v>
      </c>
      <c r="H29" s="15" t="s">
        <v>3897</v>
      </c>
      <c r="I29" s="15"/>
      <c r="J29" s="53" t="s">
        <v>3899</v>
      </c>
      <c r="K29" s="25" t="s">
        <v>3900</v>
      </c>
      <c r="L29" s="15"/>
      <c r="M29" s="15"/>
      <c r="N29" s="15"/>
      <c r="O29" s="15"/>
      <c r="P29" s="15" t="s">
        <v>92</v>
      </c>
    </row>
    <row r="30" ht="15.75" customHeight="1">
      <c r="B30" s="15" t="s">
        <v>3913</v>
      </c>
      <c r="C30" s="15" t="s">
        <v>3393</v>
      </c>
      <c r="D30" s="15" t="s">
        <v>591</v>
      </c>
      <c r="E30" s="15"/>
      <c r="F30" s="15"/>
      <c r="G30" s="15" t="s">
        <v>52</v>
      </c>
      <c r="H30" s="15" t="s">
        <v>3915</v>
      </c>
      <c r="I30" s="15"/>
      <c r="J30" s="53" t="s">
        <v>3918</v>
      </c>
      <c r="K30" s="25" t="s">
        <v>3919</v>
      </c>
      <c r="L30" s="15"/>
      <c r="M30" s="15"/>
      <c r="N30" s="15"/>
      <c r="O30" s="15"/>
      <c r="P30" s="15" t="s">
        <v>92</v>
      </c>
    </row>
    <row r="31" ht="15.75" customHeight="1">
      <c r="B31" s="15" t="s">
        <v>3929</v>
      </c>
      <c r="C31" s="15" t="s">
        <v>3393</v>
      </c>
      <c r="D31" s="15" t="s">
        <v>591</v>
      </c>
      <c r="E31" s="15"/>
      <c r="F31" s="15"/>
      <c r="G31" s="15" t="s">
        <v>52</v>
      </c>
      <c r="H31" s="15" t="s">
        <v>3930</v>
      </c>
      <c r="I31" s="15"/>
      <c r="J31" s="53" t="s">
        <v>3931</v>
      </c>
      <c r="K31" s="25" t="s">
        <v>3932</v>
      </c>
      <c r="L31" s="15"/>
      <c r="M31" s="15"/>
      <c r="N31" s="15"/>
      <c r="O31" s="15"/>
      <c r="P31" s="15" t="s">
        <v>92</v>
      </c>
    </row>
    <row r="32" ht="15.75" customHeight="1">
      <c r="B32" s="15" t="s">
        <v>3942</v>
      </c>
      <c r="C32" s="15" t="s">
        <v>3393</v>
      </c>
      <c r="D32" s="15" t="s">
        <v>591</v>
      </c>
      <c r="E32" s="15"/>
      <c r="F32" s="15"/>
      <c r="G32" s="15" t="s">
        <v>52</v>
      </c>
      <c r="H32" s="15" t="s">
        <v>3944</v>
      </c>
      <c r="I32" s="15"/>
      <c r="J32" s="53" t="s">
        <v>3946</v>
      </c>
      <c r="K32" s="25" t="s">
        <v>3947</v>
      </c>
      <c r="L32" s="30"/>
      <c r="M32" s="15"/>
      <c r="N32" s="15"/>
      <c r="O32" s="15"/>
      <c r="P32" s="15" t="s">
        <v>92</v>
      </c>
    </row>
    <row r="33" ht="15.75" customHeight="1">
      <c r="B33" s="15" t="s">
        <v>3966</v>
      </c>
      <c r="C33" s="15" t="s">
        <v>3393</v>
      </c>
      <c r="D33" s="15" t="s">
        <v>591</v>
      </c>
      <c r="E33" s="15"/>
      <c r="F33" s="15"/>
      <c r="G33" s="15" t="s">
        <v>52</v>
      </c>
      <c r="H33" s="15" t="s">
        <v>3969</v>
      </c>
      <c r="I33" s="15"/>
      <c r="J33" s="53" t="s">
        <v>3971</v>
      </c>
      <c r="K33" s="25" t="s">
        <v>3972</v>
      </c>
      <c r="L33" s="15"/>
      <c r="M33" s="15"/>
      <c r="N33" s="15"/>
      <c r="O33" s="15"/>
      <c r="P33" s="15" t="s">
        <v>92</v>
      </c>
    </row>
    <row r="34" ht="15.75" customHeight="1">
      <c r="B34" s="15" t="s">
        <v>3983</v>
      </c>
      <c r="C34" s="15" t="s">
        <v>3393</v>
      </c>
      <c r="D34" s="15" t="s">
        <v>591</v>
      </c>
      <c r="E34" s="15"/>
      <c r="F34" s="15"/>
      <c r="G34" s="15" t="s">
        <v>52</v>
      </c>
      <c r="H34" s="15" t="s">
        <v>3986</v>
      </c>
      <c r="I34" s="15"/>
      <c r="J34" s="53" t="s">
        <v>3987</v>
      </c>
      <c r="K34" s="25" t="s">
        <v>3466</v>
      </c>
      <c r="L34" s="15"/>
      <c r="M34" s="15"/>
      <c r="N34" s="15"/>
      <c r="O34" s="15"/>
      <c r="P34" s="15" t="s">
        <v>92</v>
      </c>
    </row>
    <row r="35" ht="15.75" customHeight="1">
      <c r="B35" s="15" t="s">
        <v>3989</v>
      </c>
      <c r="C35" s="15" t="s">
        <v>3393</v>
      </c>
      <c r="D35" s="15" t="s">
        <v>591</v>
      </c>
      <c r="E35" s="15"/>
      <c r="F35" s="15">
        <v>35136.0</v>
      </c>
      <c r="G35" s="15" t="s">
        <v>52</v>
      </c>
      <c r="H35" s="15" t="s">
        <v>3991</v>
      </c>
      <c r="I35" s="15"/>
      <c r="J35" s="53" t="s">
        <v>3993</v>
      </c>
      <c r="K35" s="25" t="s">
        <v>3994</v>
      </c>
      <c r="L35" s="15"/>
      <c r="M35" s="15"/>
      <c r="N35" s="15"/>
      <c r="O35" s="15"/>
      <c r="P35" s="15" t="s">
        <v>92</v>
      </c>
    </row>
    <row r="36" ht="15.75" customHeight="1">
      <c r="B36" s="15" t="s">
        <v>4005</v>
      </c>
      <c r="C36" s="15" t="s">
        <v>3393</v>
      </c>
      <c r="D36" s="15" t="s">
        <v>591</v>
      </c>
      <c r="E36" s="15"/>
      <c r="F36" s="15"/>
      <c r="G36" s="15" t="s">
        <v>52</v>
      </c>
      <c r="H36" s="15" t="s">
        <v>4007</v>
      </c>
      <c r="I36" s="15"/>
      <c r="J36" s="53" t="s">
        <v>4009</v>
      </c>
      <c r="K36" s="25" t="s">
        <v>4010</v>
      </c>
      <c r="L36" s="30"/>
      <c r="M36" s="15"/>
      <c r="N36" s="15"/>
      <c r="O36" s="15"/>
      <c r="P36" s="15" t="s">
        <v>92</v>
      </c>
    </row>
    <row r="37" ht="15.75" customHeight="1">
      <c r="B37" s="15" t="s">
        <v>4023</v>
      </c>
      <c r="C37" s="15" t="s">
        <v>3393</v>
      </c>
      <c r="D37" s="15" t="s">
        <v>591</v>
      </c>
      <c r="E37" s="15"/>
      <c r="F37" s="15"/>
      <c r="G37" s="15" t="s">
        <v>52</v>
      </c>
      <c r="H37" s="15" t="s">
        <v>4025</v>
      </c>
      <c r="I37" s="15"/>
      <c r="J37" s="53" t="s">
        <v>4027</v>
      </c>
      <c r="K37" s="25" t="s">
        <v>4028</v>
      </c>
      <c r="L37" s="15"/>
      <c r="M37" s="15"/>
      <c r="N37" s="15"/>
      <c r="O37" s="15"/>
      <c r="P37" s="15" t="s">
        <v>92</v>
      </c>
    </row>
    <row r="38" ht="15.75" customHeight="1">
      <c r="B38" s="15" t="s">
        <v>4039</v>
      </c>
      <c r="C38" s="15" t="s">
        <v>3393</v>
      </c>
      <c r="D38" s="15" t="s">
        <v>591</v>
      </c>
      <c r="E38" s="15"/>
      <c r="F38" s="15"/>
      <c r="G38" s="15" t="s">
        <v>52</v>
      </c>
      <c r="H38" s="15" t="s">
        <v>4042</v>
      </c>
      <c r="I38" s="15"/>
      <c r="J38" s="53" t="s">
        <v>4044</v>
      </c>
      <c r="K38" s="25" t="s">
        <v>4045</v>
      </c>
      <c r="L38" s="15"/>
      <c r="M38" s="15"/>
      <c r="N38" s="15"/>
      <c r="O38" s="15"/>
      <c r="P38" s="15" t="s">
        <v>92</v>
      </c>
    </row>
    <row r="39" ht="15.75" customHeight="1">
      <c r="B39" s="15" t="s">
        <v>4057</v>
      </c>
      <c r="C39" s="15" t="s">
        <v>3393</v>
      </c>
      <c r="D39" s="15" t="s">
        <v>591</v>
      </c>
      <c r="E39" s="15"/>
      <c r="F39" s="15"/>
      <c r="G39" s="15" t="s">
        <v>52</v>
      </c>
      <c r="H39" s="15" t="s">
        <v>4059</v>
      </c>
      <c r="I39" s="15"/>
      <c r="J39" s="53" t="s">
        <v>4060</v>
      </c>
      <c r="K39" s="25" t="s">
        <v>4063</v>
      </c>
      <c r="L39" s="15"/>
      <c r="M39" s="15"/>
      <c r="N39" s="15"/>
      <c r="O39" s="15"/>
      <c r="P39" s="15" t="s">
        <v>92</v>
      </c>
    </row>
    <row r="40" ht="15.75" customHeight="1">
      <c r="B40" s="15" t="s">
        <v>4075</v>
      </c>
      <c r="C40" s="15" t="s">
        <v>3393</v>
      </c>
      <c r="D40" s="15" t="s">
        <v>591</v>
      </c>
      <c r="E40" s="15"/>
      <c r="F40" s="15"/>
      <c r="G40" s="15" t="s">
        <v>52</v>
      </c>
      <c r="H40" s="15" t="s">
        <v>4077</v>
      </c>
      <c r="I40" s="15"/>
      <c r="J40" s="53" t="s">
        <v>4079</v>
      </c>
      <c r="K40" s="25" t="s">
        <v>4081</v>
      </c>
      <c r="L40" s="15"/>
      <c r="M40" s="15"/>
      <c r="N40" s="15"/>
      <c r="O40" s="15"/>
      <c r="P40" s="15" t="s">
        <v>92</v>
      </c>
    </row>
    <row r="41" ht="15.75" customHeight="1">
      <c r="B41" s="15" t="s">
        <v>4093</v>
      </c>
      <c r="C41" s="15" t="s">
        <v>3393</v>
      </c>
      <c r="D41" s="15" t="s">
        <v>591</v>
      </c>
      <c r="E41" s="15" t="s">
        <v>4095</v>
      </c>
      <c r="F41" s="15">
        <v>35320.0</v>
      </c>
      <c r="G41" s="15" t="s">
        <v>52</v>
      </c>
      <c r="H41" s="15" t="s">
        <v>4096</v>
      </c>
      <c r="I41" s="15"/>
      <c r="J41" s="53" t="s">
        <v>4098</v>
      </c>
      <c r="K41" s="25" t="s">
        <v>4099</v>
      </c>
      <c r="L41" s="15"/>
      <c r="M41" s="15"/>
      <c r="N41" s="15"/>
      <c r="O41" s="15"/>
      <c r="P41" s="15" t="s">
        <v>92</v>
      </c>
    </row>
    <row r="42" ht="15.75" customHeight="1">
      <c r="B42" s="15" t="s">
        <v>4114</v>
      </c>
      <c r="C42" s="15" t="s">
        <v>3393</v>
      </c>
      <c r="D42" s="15" t="s">
        <v>591</v>
      </c>
      <c r="E42" s="15" t="s">
        <v>1349</v>
      </c>
      <c r="F42" s="15">
        <v>35000.0</v>
      </c>
      <c r="G42" s="15" t="s">
        <v>52</v>
      </c>
      <c r="H42" s="15" t="s">
        <v>4118</v>
      </c>
      <c r="I42" s="15"/>
      <c r="J42" s="53" t="s">
        <v>4119</v>
      </c>
      <c r="K42" s="25" t="s">
        <v>4121</v>
      </c>
      <c r="L42" s="15"/>
      <c r="M42" s="15"/>
      <c r="N42" s="15"/>
      <c r="O42" s="15"/>
      <c r="P42" s="15" t="s">
        <v>92</v>
      </c>
    </row>
    <row r="43" ht="15.75" customHeight="1">
      <c r="B43" s="15" t="s">
        <v>4134</v>
      </c>
      <c r="C43" s="15" t="s">
        <v>3393</v>
      </c>
      <c r="D43" s="15" t="s">
        <v>591</v>
      </c>
      <c r="E43" s="15" t="s">
        <v>1349</v>
      </c>
      <c r="F43" s="15">
        <v>35000.0</v>
      </c>
      <c r="G43" s="15" t="s">
        <v>52</v>
      </c>
      <c r="H43" s="15" t="s">
        <v>4137</v>
      </c>
      <c r="I43" s="15"/>
      <c r="J43" s="53" t="s">
        <v>4138</v>
      </c>
      <c r="K43" s="25" t="s">
        <v>3466</v>
      </c>
      <c r="L43" s="15"/>
      <c r="M43" s="15"/>
      <c r="N43" s="15"/>
      <c r="O43" s="15"/>
      <c r="P43" s="15" t="s">
        <v>92</v>
      </c>
    </row>
    <row r="44" ht="15.75" customHeight="1">
      <c r="B44" s="15" t="s">
        <v>4143</v>
      </c>
      <c r="C44" s="15" t="s">
        <v>3393</v>
      </c>
      <c r="D44" s="15" t="s">
        <v>591</v>
      </c>
      <c r="E44" s="15" t="s">
        <v>1349</v>
      </c>
      <c r="F44" s="15">
        <v>35000.0</v>
      </c>
      <c r="G44" s="15" t="s">
        <v>52</v>
      </c>
      <c r="H44" s="15" t="s">
        <v>4145</v>
      </c>
      <c r="I44" s="15"/>
      <c r="J44" s="53" t="s">
        <v>4146</v>
      </c>
      <c r="K44" s="25" t="s">
        <v>4148</v>
      </c>
      <c r="L44" s="30"/>
      <c r="M44" s="15"/>
      <c r="N44" s="15"/>
      <c r="O44" s="15"/>
      <c r="P44" s="15" t="s">
        <v>92</v>
      </c>
    </row>
    <row r="45" ht="15.75" customHeight="1">
      <c r="B45" s="15" t="s">
        <v>4163</v>
      </c>
      <c r="C45" s="15" t="s">
        <v>3393</v>
      </c>
      <c r="D45" s="15" t="s">
        <v>591</v>
      </c>
      <c r="E45" s="15" t="s">
        <v>1349</v>
      </c>
      <c r="F45" s="15">
        <v>35000.0</v>
      </c>
      <c r="G45" s="15" t="s">
        <v>52</v>
      </c>
      <c r="H45" s="15" t="s">
        <v>4166</v>
      </c>
      <c r="I45" s="15"/>
      <c r="J45" s="53" t="s">
        <v>4168</v>
      </c>
      <c r="K45" s="25" t="s">
        <v>4169</v>
      </c>
      <c r="L45" s="15"/>
      <c r="M45" s="15"/>
      <c r="N45" s="15"/>
      <c r="O45" s="15"/>
      <c r="P45" s="15" t="s">
        <v>92</v>
      </c>
    </row>
    <row r="46" ht="15.75" customHeight="1">
      <c r="B46" s="15" t="s">
        <v>4183</v>
      </c>
      <c r="C46" s="15" t="s">
        <v>3393</v>
      </c>
      <c r="D46" s="15" t="s">
        <v>591</v>
      </c>
      <c r="E46" s="15" t="s">
        <v>1349</v>
      </c>
      <c r="F46" s="15">
        <v>35700.0</v>
      </c>
      <c r="G46" s="15" t="s">
        <v>52</v>
      </c>
      <c r="H46" s="15" t="s">
        <v>4186</v>
      </c>
      <c r="I46" s="15"/>
      <c r="J46" s="53" t="s">
        <v>4188</v>
      </c>
      <c r="K46" s="25" t="s">
        <v>4190</v>
      </c>
      <c r="L46" s="15"/>
      <c r="M46" s="15"/>
      <c r="N46" s="15"/>
      <c r="O46" s="15"/>
      <c r="P46" s="15" t="s">
        <v>92</v>
      </c>
    </row>
    <row r="47" ht="15.75" customHeight="1">
      <c r="B47" s="15" t="s">
        <v>4205</v>
      </c>
      <c r="C47" s="15" t="s">
        <v>3393</v>
      </c>
      <c r="D47" s="15" t="s">
        <v>591</v>
      </c>
      <c r="E47" s="15" t="s">
        <v>1349</v>
      </c>
      <c r="F47" s="15">
        <v>35000.0</v>
      </c>
      <c r="G47" s="15" t="s">
        <v>52</v>
      </c>
      <c r="H47" s="15" t="s">
        <v>4208</v>
      </c>
      <c r="I47" s="15"/>
      <c r="J47" s="53" t="s">
        <v>4209</v>
      </c>
      <c r="K47" s="25" t="s">
        <v>4210</v>
      </c>
      <c r="L47" s="15"/>
      <c r="M47" s="15"/>
      <c r="N47" s="15"/>
      <c r="O47" s="15"/>
      <c r="P47" s="15" t="s">
        <v>92</v>
      </c>
    </row>
    <row r="48" ht="15.75" customHeight="1">
      <c r="B48" s="15" t="s">
        <v>4222</v>
      </c>
      <c r="C48" s="15" t="s">
        <v>3393</v>
      </c>
      <c r="D48" s="15" t="s">
        <v>591</v>
      </c>
      <c r="E48" s="15" t="s">
        <v>4223</v>
      </c>
      <c r="F48" s="15">
        <v>35460.0</v>
      </c>
      <c r="G48" s="15" t="s">
        <v>52</v>
      </c>
      <c r="H48" s="15" t="s">
        <v>4226</v>
      </c>
      <c r="I48" s="15"/>
      <c r="J48" s="53" t="s">
        <v>4227</v>
      </c>
      <c r="K48" s="25" t="s">
        <v>4229</v>
      </c>
      <c r="L48" s="15"/>
      <c r="M48" s="15"/>
      <c r="N48" s="15"/>
      <c r="O48" s="15"/>
      <c r="P48" s="15" t="s">
        <v>92</v>
      </c>
    </row>
    <row r="49" ht="15.75" customHeight="1">
      <c r="B49" s="15" t="s">
        <v>3427</v>
      </c>
      <c r="C49" s="15" t="s">
        <v>3393</v>
      </c>
      <c r="D49" s="15" t="s">
        <v>591</v>
      </c>
      <c r="E49" s="15" t="s">
        <v>1699</v>
      </c>
      <c r="F49" s="15">
        <v>35136.0</v>
      </c>
      <c r="G49" s="15" t="s">
        <v>52</v>
      </c>
      <c r="H49" s="15" t="s">
        <v>4246</v>
      </c>
      <c r="I49" s="15"/>
      <c r="J49" s="53" t="s">
        <v>4247</v>
      </c>
      <c r="K49" s="25" t="s">
        <v>4249</v>
      </c>
      <c r="L49" s="30"/>
      <c r="M49" s="15"/>
      <c r="N49" s="15"/>
      <c r="O49" s="15"/>
      <c r="P49" s="15" t="s">
        <v>92</v>
      </c>
    </row>
    <row r="50" ht="15.75" customHeight="1">
      <c r="B50" s="15" t="s">
        <v>4268</v>
      </c>
      <c r="C50" s="15" t="s">
        <v>3393</v>
      </c>
      <c r="D50" s="15" t="s">
        <v>591</v>
      </c>
      <c r="E50" s="15" t="s">
        <v>1659</v>
      </c>
      <c r="F50" s="15">
        <v>35132.0</v>
      </c>
      <c r="G50" s="15" t="s">
        <v>52</v>
      </c>
      <c r="H50" s="15" t="s">
        <v>4271</v>
      </c>
      <c r="I50" s="15"/>
      <c r="J50" s="53" t="s">
        <v>4273</v>
      </c>
      <c r="K50" s="25" t="s">
        <v>4274</v>
      </c>
      <c r="L50" s="30"/>
      <c r="M50" s="15"/>
      <c r="N50" s="15"/>
      <c r="O50" s="15"/>
      <c r="P50" s="15" t="s">
        <v>92</v>
      </c>
    </row>
    <row r="51" ht="15.75" customHeight="1">
      <c r="B51" s="15"/>
      <c r="C51" s="15"/>
      <c r="D51" s="15"/>
      <c r="E51" s="15"/>
      <c r="F51" s="15"/>
      <c r="G51" s="15"/>
      <c r="H51" s="15"/>
      <c r="I51" s="15"/>
      <c r="J51" s="54"/>
      <c r="K51" s="15"/>
      <c r="L51" s="15"/>
      <c r="M51" s="15"/>
      <c r="N51" s="15"/>
      <c r="O51" s="15"/>
      <c r="P51" s="15"/>
    </row>
    <row r="52" ht="15.75" customHeight="1">
      <c r="B52" s="15" t="s">
        <v>4293</v>
      </c>
      <c r="C52" s="15" t="s">
        <v>3393</v>
      </c>
      <c r="D52" s="15" t="s">
        <v>591</v>
      </c>
      <c r="E52" s="15"/>
      <c r="F52" s="15"/>
      <c r="G52" s="15" t="s">
        <v>37</v>
      </c>
      <c r="H52" s="15" t="s">
        <v>4296</v>
      </c>
      <c r="I52" s="15"/>
      <c r="J52" s="53" t="s">
        <v>4298</v>
      </c>
      <c r="K52" s="25" t="s">
        <v>4300</v>
      </c>
      <c r="L52" s="15"/>
      <c r="M52" s="15"/>
      <c r="N52" s="15"/>
      <c r="O52" s="15"/>
      <c r="P52" s="15" t="s">
        <v>92</v>
      </c>
    </row>
    <row r="53" ht="15.75" customHeight="1">
      <c r="B53" s="15" t="s">
        <v>4134</v>
      </c>
      <c r="C53" s="15" t="s">
        <v>3393</v>
      </c>
      <c r="D53" s="15" t="s">
        <v>591</v>
      </c>
      <c r="E53" s="15" t="s">
        <v>1422</v>
      </c>
      <c r="F53" s="15">
        <v>53000.0</v>
      </c>
      <c r="G53" s="15" t="s">
        <v>37</v>
      </c>
      <c r="H53" s="15" t="s">
        <v>4319</v>
      </c>
      <c r="I53" s="15"/>
      <c r="J53" s="53" t="s">
        <v>4320</v>
      </c>
      <c r="K53" s="25" t="s">
        <v>4322</v>
      </c>
      <c r="L53" s="30"/>
      <c r="M53" s="15"/>
      <c r="N53" s="15"/>
      <c r="O53" s="15"/>
      <c r="P53" s="15" t="s">
        <v>92</v>
      </c>
    </row>
    <row r="54" ht="15.75" customHeight="1">
      <c r="B54" s="15" t="s">
        <v>4336</v>
      </c>
      <c r="C54" s="15" t="s">
        <v>3393</v>
      </c>
      <c r="D54" s="15" t="s">
        <v>591</v>
      </c>
      <c r="E54" s="15" t="s">
        <v>1884</v>
      </c>
      <c r="F54" s="15">
        <v>53100.0</v>
      </c>
      <c r="G54" s="15" t="s">
        <v>37</v>
      </c>
      <c r="H54" s="15" t="s">
        <v>4339</v>
      </c>
      <c r="I54" s="15"/>
      <c r="J54" s="53" t="s">
        <v>4341</v>
      </c>
      <c r="K54" s="25" t="s">
        <v>4343</v>
      </c>
      <c r="L54" s="15"/>
      <c r="M54" s="15"/>
      <c r="N54" s="15"/>
      <c r="O54" s="15" t="s">
        <v>4356</v>
      </c>
      <c r="P54" s="15" t="s">
        <v>296</v>
      </c>
    </row>
    <row r="55" ht="15.75" customHeight="1">
      <c r="B55" s="15"/>
      <c r="C55" s="15"/>
      <c r="D55" s="15"/>
      <c r="E55" s="15"/>
      <c r="F55" s="15"/>
      <c r="G55" s="15"/>
      <c r="H55" s="15"/>
      <c r="I55" s="15"/>
      <c r="J55" s="54"/>
      <c r="K55" s="15"/>
      <c r="L55" s="15"/>
      <c r="M55" s="15"/>
      <c r="N55" s="15"/>
      <c r="O55" s="15"/>
      <c r="P55" s="15"/>
    </row>
    <row r="56" ht="15.75" customHeight="1">
      <c r="B56" s="31" t="s">
        <v>4361</v>
      </c>
      <c r="C56" s="31" t="s">
        <v>3171</v>
      </c>
      <c r="D56" s="31" t="s">
        <v>46</v>
      </c>
      <c r="E56" s="31"/>
      <c r="F56" s="31"/>
      <c r="G56" s="31" t="s">
        <v>47</v>
      </c>
      <c r="H56" s="31" t="s">
        <v>4365</v>
      </c>
      <c r="I56" s="31"/>
      <c r="J56" s="52" t="s">
        <v>4366</v>
      </c>
      <c r="K56" s="32" t="s">
        <v>4369</v>
      </c>
      <c r="L56" s="30"/>
      <c r="M56" s="31"/>
      <c r="N56" s="31"/>
      <c r="O56" s="31"/>
      <c r="P56" s="31" t="s">
        <v>92</v>
      </c>
    </row>
    <row r="57" ht="15.75" customHeight="1">
      <c r="B57" s="31" t="s">
        <v>4387</v>
      </c>
      <c r="C57" s="31" t="s">
        <v>3171</v>
      </c>
      <c r="D57" s="31" t="s">
        <v>46</v>
      </c>
      <c r="E57" s="31" t="s">
        <v>4389</v>
      </c>
      <c r="F57" s="31">
        <v>85680.0</v>
      </c>
      <c r="G57" s="31" t="s">
        <v>47</v>
      </c>
      <c r="H57" s="31" t="s">
        <v>4391</v>
      </c>
      <c r="I57" s="31"/>
      <c r="J57" s="52" t="s">
        <v>4393</v>
      </c>
      <c r="K57" s="32" t="s">
        <v>4394</v>
      </c>
      <c r="L57" s="31" t="s">
        <v>4408</v>
      </c>
      <c r="M57" s="31" t="s">
        <v>4409</v>
      </c>
      <c r="N57" s="31">
        <v>1989.0</v>
      </c>
      <c r="O57" s="31"/>
      <c r="P57" s="31" t="s">
        <v>92</v>
      </c>
    </row>
    <row r="58" ht="15.75" customHeight="1">
      <c r="B58" s="31" t="s">
        <v>4413</v>
      </c>
      <c r="C58" s="31" t="s">
        <v>3171</v>
      </c>
      <c r="D58" s="31" t="s">
        <v>46</v>
      </c>
      <c r="E58" s="31" t="s">
        <v>1879</v>
      </c>
      <c r="F58" s="31">
        <v>85100.0</v>
      </c>
      <c r="G58" s="31" t="s">
        <v>47</v>
      </c>
      <c r="H58" s="31" t="s">
        <v>2563</v>
      </c>
      <c r="I58" s="31"/>
      <c r="J58" s="52" t="s">
        <v>4417</v>
      </c>
      <c r="K58" s="32" t="s">
        <v>4419</v>
      </c>
      <c r="L58" s="31"/>
      <c r="M58" s="31"/>
      <c r="N58" s="31"/>
      <c r="O58" s="31"/>
      <c r="P58" s="31" t="s">
        <v>92</v>
      </c>
    </row>
    <row r="59" ht="15.75" customHeight="1">
      <c r="B59" s="31" t="s">
        <v>4431</v>
      </c>
      <c r="C59" s="31" t="s">
        <v>3171</v>
      </c>
      <c r="D59" s="31" t="s">
        <v>46</v>
      </c>
      <c r="E59" s="31" t="s">
        <v>1879</v>
      </c>
      <c r="F59" s="31">
        <v>85100.0</v>
      </c>
      <c r="G59" s="31" t="s">
        <v>47</v>
      </c>
      <c r="H59" s="31" t="s">
        <v>4433</v>
      </c>
      <c r="I59" s="30"/>
      <c r="J59" s="52" t="s">
        <v>4435</v>
      </c>
      <c r="K59" s="32" t="s">
        <v>4437</v>
      </c>
      <c r="L59" s="30"/>
      <c r="M59" s="31"/>
      <c r="N59" s="31"/>
      <c r="O59" s="31"/>
      <c r="P59" s="31" t="s">
        <v>92</v>
      </c>
    </row>
    <row r="60" ht="15.75" customHeight="1">
      <c r="B60" s="31" t="s">
        <v>4452</v>
      </c>
      <c r="C60" s="31" t="s">
        <v>3171</v>
      </c>
      <c r="D60" s="31" t="s">
        <v>46</v>
      </c>
      <c r="E60" s="31" t="s">
        <v>4455</v>
      </c>
      <c r="F60" s="31">
        <v>85330.0</v>
      </c>
      <c r="G60" s="31" t="s">
        <v>47</v>
      </c>
      <c r="H60" s="31" t="s">
        <v>4457</v>
      </c>
      <c r="I60" s="31"/>
      <c r="J60" s="52" t="s">
        <v>4459</v>
      </c>
      <c r="K60" s="32" t="s">
        <v>4461</v>
      </c>
      <c r="L60" s="31" t="s">
        <v>4474</v>
      </c>
      <c r="M60" s="31" t="s">
        <v>4476</v>
      </c>
      <c r="N60" s="31">
        <v>1987.0</v>
      </c>
      <c r="O60" s="31" t="s">
        <v>4478</v>
      </c>
      <c r="P60" s="31" t="s">
        <v>92</v>
      </c>
    </row>
    <row r="61" ht="15.75" customHeight="1">
      <c r="B61" s="31" t="s">
        <v>4479</v>
      </c>
      <c r="C61" s="31" t="s">
        <v>3171</v>
      </c>
      <c r="D61" s="31" t="s">
        <v>46</v>
      </c>
      <c r="E61" s="31" t="s">
        <v>4455</v>
      </c>
      <c r="F61" s="31">
        <v>85330.0</v>
      </c>
      <c r="G61" s="31" t="s">
        <v>47</v>
      </c>
      <c r="H61" s="31" t="s">
        <v>4482</v>
      </c>
      <c r="I61" s="31"/>
      <c r="J61" s="52" t="s">
        <v>4483</v>
      </c>
      <c r="K61" s="32" t="s">
        <v>4485</v>
      </c>
      <c r="L61" s="31"/>
      <c r="M61" s="31"/>
      <c r="N61" s="31"/>
      <c r="O61" s="31"/>
      <c r="P61" s="31" t="s">
        <v>92</v>
      </c>
    </row>
    <row r="62" ht="15.75" customHeight="1">
      <c r="B62" s="15" t="s">
        <v>4498</v>
      </c>
      <c r="C62" s="15" t="s">
        <v>3393</v>
      </c>
      <c r="D62" s="15" t="s">
        <v>591</v>
      </c>
      <c r="E62" s="15"/>
      <c r="F62" s="15"/>
      <c r="G62" s="15" t="s">
        <v>47</v>
      </c>
      <c r="H62" s="15" t="s">
        <v>4500</v>
      </c>
      <c r="I62" s="30"/>
      <c r="J62" s="53" t="s">
        <v>4503</v>
      </c>
      <c r="K62" s="15"/>
      <c r="L62" s="15"/>
      <c r="M62" s="15"/>
      <c r="N62" s="15"/>
      <c r="O62" s="15"/>
      <c r="P62" s="15" t="s">
        <v>92</v>
      </c>
    </row>
    <row r="63" ht="15.75" customHeight="1">
      <c r="B63" s="15" t="s">
        <v>4507</v>
      </c>
      <c r="C63" s="15" t="s">
        <v>3393</v>
      </c>
      <c r="D63" s="15" t="s">
        <v>591</v>
      </c>
      <c r="E63" s="15"/>
      <c r="F63" s="15"/>
      <c r="G63" s="15" t="s">
        <v>47</v>
      </c>
      <c r="H63" s="15" t="s">
        <v>4510</v>
      </c>
      <c r="I63" s="15"/>
      <c r="J63" s="53" t="s">
        <v>4512</v>
      </c>
      <c r="K63" s="25" t="s">
        <v>4513</v>
      </c>
      <c r="L63" s="30"/>
      <c r="M63" s="15"/>
      <c r="N63" s="15"/>
      <c r="O63" s="15"/>
      <c r="P63" s="15" t="s">
        <v>92</v>
      </c>
    </row>
    <row r="64" ht="15.75" customHeight="1">
      <c r="B64" s="15" t="s">
        <v>4534</v>
      </c>
      <c r="C64" s="15" t="s">
        <v>3393</v>
      </c>
      <c r="D64" s="15" t="s">
        <v>591</v>
      </c>
      <c r="E64" s="15"/>
      <c r="F64" s="15">
        <v>85000.0</v>
      </c>
      <c r="G64" s="15" t="s">
        <v>47</v>
      </c>
      <c r="H64" s="15" t="s">
        <v>4537</v>
      </c>
      <c r="I64" s="15"/>
      <c r="J64" s="53" t="s">
        <v>4538</v>
      </c>
      <c r="K64" s="25" t="s">
        <v>4540</v>
      </c>
      <c r="L64" s="15"/>
      <c r="M64" s="15"/>
      <c r="N64" s="15"/>
      <c r="O64" s="15"/>
      <c r="P64" s="15" t="s">
        <v>92</v>
      </c>
    </row>
    <row r="65" ht="15.75" customHeight="1">
      <c r="B65" s="15" t="s">
        <v>4550</v>
      </c>
      <c r="C65" s="15" t="s">
        <v>3393</v>
      </c>
      <c r="D65" s="15" t="s">
        <v>591</v>
      </c>
      <c r="E65" s="15"/>
      <c r="F65" s="15"/>
      <c r="G65" s="15" t="s">
        <v>47</v>
      </c>
      <c r="H65" s="15" t="s">
        <v>4553</v>
      </c>
      <c r="I65" s="15"/>
      <c r="J65" s="53" t="s">
        <v>4554</v>
      </c>
      <c r="K65" s="25" t="s">
        <v>4555</v>
      </c>
      <c r="L65" s="15"/>
      <c r="M65" s="15"/>
      <c r="N65" s="15"/>
      <c r="O65" s="15"/>
      <c r="P65" s="15" t="s">
        <v>92</v>
      </c>
    </row>
    <row r="66" ht="15.75" customHeight="1">
      <c r="B66" s="15" t="s">
        <v>4562</v>
      </c>
      <c r="C66" s="15" t="s">
        <v>3393</v>
      </c>
      <c r="D66" s="15" t="s">
        <v>591</v>
      </c>
      <c r="E66" s="15" t="s">
        <v>4455</v>
      </c>
      <c r="F66" s="15">
        <v>85330.0</v>
      </c>
      <c r="G66" s="15" t="s">
        <v>47</v>
      </c>
      <c r="H66" s="15" t="s">
        <v>4564</v>
      </c>
      <c r="I66" s="15"/>
      <c r="J66" s="53" t="s">
        <v>4566</v>
      </c>
      <c r="K66" s="25" t="s">
        <v>4567</v>
      </c>
      <c r="L66" s="15"/>
      <c r="M66" s="15"/>
      <c r="N66" s="15"/>
      <c r="O66" s="15"/>
      <c r="P66" s="15" t="s">
        <v>92</v>
      </c>
    </row>
    <row r="67" ht="15.75" customHeight="1">
      <c r="B67" s="15" t="s">
        <v>4575</v>
      </c>
      <c r="C67" s="15" t="s">
        <v>3393</v>
      </c>
      <c r="D67" s="15" t="s">
        <v>591</v>
      </c>
      <c r="E67" s="15" t="s">
        <v>4455</v>
      </c>
      <c r="F67" s="15">
        <v>85330.0</v>
      </c>
      <c r="G67" s="15" t="s">
        <v>47</v>
      </c>
      <c r="H67" s="15" t="s">
        <v>4577</v>
      </c>
      <c r="I67" s="15"/>
      <c r="J67" s="53" t="s">
        <v>4579</v>
      </c>
      <c r="K67" s="25" t="s">
        <v>4580</v>
      </c>
      <c r="L67" s="15"/>
      <c r="M67" s="15"/>
      <c r="N67" s="15"/>
      <c r="O67" s="15"/>
      <c r="P67" s="15" t="s">
        <v>92</v>
      </c>
    </row>
    <row r="68" ht="15.75" customHeight="1">
      <c r="B68" s="15" t="s">
        <v>4590</v>
      </c>
      <c r="C68" s="15" t="s">
        <v>3393</v>
      </c>
      <c r="D68" s="15" t="s">
        <v>591</v>
      </c>
      <c r="E68" s="15" t="s">
        <v>4455</v>
      </c>
      <c r="F68" s="15">
        <v>85330.0</v>
      </c>
      <c r="G68" s="15" t="s">
        <v>47</v>
      </c>
      <c r="H68" s="15" t="s">
        <v>4591</v>
      </c>
      <c r="I68" s="15"/>
      <c r="J68" s="53" t="s">
        <v>4593</v>
      </c>
      <c r="K68" s="25" t="s">
        <v>4594</v>
      </c>
      <c r="L68" s="15"/>
      <c r="M68" s="15"/>
      <c r="N68" s="15"/>
      <c r="O68" s="15"/>
      <c r="P68" s="15" t="s">
        <v>92</v>
      </c>
    </row>
    <row r="69" ht="15.75" customHeight="1">
      <c r="B69" s="15" t="s">
        <v>4604</v>
      </c>
      <c r="C69" s="15" t="s">
        <v>3393</v>
      </c>
      <c r="D69" s="15" t="s">
        <v>591</v>
      </c>
      <c r="E69" s="15" t="s">
        <v>4455</v>
      </c>
      <c r="F69" s="15">
        <v>85330.0</v>
      </c>
      <c r="G69" s="15" t="s">
        <v>47</v>
      </c>
      <c r="H69" s="15" t="s">
        <v>4606</v>
      </c>
      <c r="I69" s="15"/>
      <c r="J69" s="53" t="s">
        <v>4608</v>
      </c>
      <c r="K69" s="25" t="s">
        <v>4609</v>
      </c>
      <c r="L69" s="15"/>
      <c r="M69" s="15"/>
      <c r="N69" s="15"/>
      <c r="O69" s="15"/>
      <c r="P69" s="15" t="s">
        <v>92</v>
      </c>
    </row>
    <row r="70" ht="15.75" customHeight="1">
      <c r="B70" s="15" t="s">
        <v>4619</v>
      </c>
      <c r="C70" s="15" t="s">
        <v>3393</v>
      </c>
      <c r="D70" s="15" t="s">
        <v>591</v>
      </c>
      <c r="E70" s="15" t="s">
        <v>4455</v>
      </c>
      <c r="F70" s="15">
        <v>85330.0</v>
      </c>
      <c r="G70" s="15" t="s">
        <v>47</v>
      </c>
      <c r="H70" s="15" t="s">
        <v>4623</v>
      </c>
      <c r="I70" s="15"/>
      <c r="J70" s="53" t="s">
        <v>4625</v>
      </c>
      <c r="K70" s="25" t="s">
        <v>4627</v>
      </c>
      <c r="L70" s="15"/>
      <c r="M70" s="15"/>
      <c r="N70" s="15"/>
      <c r="O70" s="15"/>
      <c r="P70" s="15" t="s">
        <v>92</v>
      </c>
    </row>
    <row r="71" ht="15.75" customHeight="1">
      <c r="B71" s="15"/>
      <c r="C71" s="15"/>
      <c r="D71" s="15"/>
      <c r="E71" s="15"/>
      <c r="F71" s="15"/>
      <c r="G71" s="15"/>
      <c r="H71" s="15"/>
      <c r="I71" s="15"/>
      <c r="J71" s="54"/>
      <c r="K71" s="15"/>
      <c r="L71" s="15"/>
      <c r="M71" s="15"/>
      <c r="N71" s="15"/>
      <c r="O71" s="15"/>
      <c r="P71" s="15"/>
    </row>
    <row r="72" ht="15.75" customHeight="1">
      <c r="B72" s="31" t="s">
        <v>4650</v>
      </c>
      <c r="C72" s="31" t="s">
        <v>3171</v>
      </c>
      <c r="D72" s="31" t="s">
        <v>46</v>
      </c>
      <c r="E72" s="31"/>
      <c r="F72" s="31"/>
      <c r="G72" s="31" t="s">
        <v>42</v>
      </c>
      <c r="H72" s="31" t="s">
        <v>4652</v>
      </c>
      <c r="I72" s="31"/>
      <c r="J72" s="52" t="s">
        <v>4655</v>
      </c>
      <c r="K72" s="32" t="s">
        <v>4656</v>
      </c>
      <c r="L72" s="31" t="s">
        <v>4669</v>
      </c>
      <c r="M72" s="31" t="s">
        <v>4670</v>
      </c>
      <c r="N72" s="31">
        <v>1987.0</v>
      </c>
      <c r="O72" s="31"/>
      <c r="P72" s="31" t="s">
        <v>92</v>
      </c>
    </row>
    <row r="73" ht="15.75" customHeight="1">
      <c r="B73" s="15" t="s">
        <v>4672</v>
      </c>
      <c r="C73" s="15" t="s">
        <v>3393</v>
      </c>
      <c r="D73" s="15" t="s">
        <v>591</v>
      </c>
      <c r="E73" s="15"/>
      <c r="F73" s="15"/>
      <c r="G73" s="15" t="s">
        <v>42</v>
      </c>
      <c r="H73" s="15" t="s">
        <v>4674</v>
      </c>
      <c r="I73" s="15"/>
      <c r="J73" s="54"/>
      <c r="K73" s="25" t="s">
        <v>4676</v>
      </c>
      <c r="L73" s="15"/>
      <c r="M73" s="15"/>
      <c r="N73" s="15"/>
      <c r="O73" s="15"/>
      <c r="P73" s="15" t="s">
        <v>92</v>
      </c>
    </row>
    <row r="74" ht="15.75" customHeight="1">
      <c r="B74" s="15" t="s">
        <v>4687</v>
      </c>
      <c r="C74" s="15" t="s">
        <v>3393</v>
      </c>
      <c r="D74" s="15" t="s">
        <v>591</v>
      </c>
      <c r="E74" s="15"/>
      <c r="F74" s="15">
        <v>56340.0</v>
      </c>
      <c r="G74" s="15" t="s">
        <v>42</v>
      </c>
      <c r="H74" s="15" t="s">
        <v>4690</v>
      </c>
      <c r="I74" s="15"/>
      <c r="J74" s="53" t="s">
        <v>4691</v>
      </c>
      <c r="K74" s="15"/>
      <c r="L74" s="15"/>
      <c r="M74" s="15"/>
      <c r="N74" s="15"/>
      <c r="O74" s="15"/>
      <c r="P74" s="15" t="s">
        <v>92</v>
      </c>
    </row>
    <row r="75" ht="15.75" customHeight="1">
      <c r="B75" s="15" t="s">
        <v>4695</v>
      </c>
      <c r="C75" s="15" t="s">
        <v>3393</v>
      </c>
      <c r="D75" s="15" t="s">
        <v>591</v>
      </c>
      <c r="E75" s="15"/>
      <c r="F75" s="15"/>
      <c r="G75" s="15" t="s">
        <v>42</v>
      </c>
      <c r="H75" s="15" t="s">
        <v>4697</v>
      </c>
      <c r="I75" s="15"/>
      <c r="J75" s="54"/>
      <c r="K75" s="25" t="s">
        <v>4700</v>
      </c>
      <c r="L75" s="15"/>
      <c r="M75" s="15"/>
      <c r="N75" s="15"/>
      <c r="O75" s="15"/>
      <c r="P75" s="15" t="s">
        <v>92</v>
      </c>
    </row>
    <row r="76" ht="15.75" customHeight="1">
      <c r="B76" s="15" t="s">
        <v>4713</v>
      </c>
      <c r="C76" s="15" t="s">
        <v>3393</v>
      </c>
      <c r="D76" s="15" t="s">
        <v>591</v>
      </c>
      <c r="E76" s="15"/>
      <c r="F76" s="15"/>
      <c r="G76" s="15" t="s">
        <v>42</v>
      </c>
      <c r="H76" s="15" t="s">
        <v>4717</v>
      </c>
      <c r="I76" s="15"/>
      <c r="J76" s="53" t="s">
        <v>4718</v>
      </c>
      <c r="K76" s="25" t="s">
        <v>4720</v>
      </c>
      <c r="L76" s="15"/>
      <c r="M76" s="15"/>
      <c r="N76" s="15"/>
      <c r="O76" s="15"/>
      <c r="P76" s="15" t="s">
        <v>92</v>
      </c>
    </row>
    <row r="77" ht="15.75" customHeight="1">
      <c r="B77" s="15" t="s">
        <v>4735</v>
      </c>
      <c r="C77" s="15" t="s">
        <v>3393</v>
      </c>
      <c r="D77" s="15" t="s">
        <v>591</v>
      </c>
      <c r="E77" s="15" t="s">
        <v>2108</v>
      </c>
      <c r="F77" s="15">
        <v>56400.0</v>
      </c>
      <c r="G77" s="15" t="s">
        <v>42</v>
      </c>
      <c r="H77" s="15" t="s">
        <v>4739</v>
      </c>
      <c r="I77" s="15"/>
      <c r="J77" s="53" t="s">
        <v>4740</v>
      </c>
      <c r="K77" s="25" t="s">
        <v>4743</v>
      </c>
      <c r="L77" s="15"/>
      <c r="M77" s="15"/>
      <c r="N77" s="15"/>
      <c r="O77" s="15"/>
      <c r="P77" s="15" t="s">
        <v>92</v>
      </c>
    </row>
    <row r="78" ht="15.75" customHeight="1">
      <c r="B78" s="15" t="s">
        <v>4756</v>
      </c>
      <c r="C78" s="15" t="s">
        <v>3393</v>
      </c>
      <c r="D78" s="15" t="s">
        <v>591</v>
      </c>
      <c r="E78" s="15" t="s">
        <v>4758</v>
      </c>
      <c r="F78" s="15">
        <v>56360.0</v>
      </c>
      <c r="G78" s="15" t="s">
        <v>42</v>
      </c>
      <c r="H78" s="15" t="s">
        <v>4761</v>
      </c>
      <c r="I78" s="15"/>
      <c r="J78" s="53" t="s">
        <v>4762</v>
      </c>
      <c r="K78" s="15"/>
      <c r="L78" s="15"/>
      <c r="M78" s="15"/>
      <c r="N78" s="15"/>
      <c r="O78" s="15"/>
      <c r="P78" s="15" t="s">
        <v>92</v>
      </c>
    </row>
    <row r="79" ht="15.75" customHeight="1">
      <c r="B79" s="15" t="s">
        <v>4766</v>
      </c>
      <c r="C79" s="15" t="s">
        <v>3393</v>
      </c>
      <c r="D79" s="15" t="s">
        <v>591</v>
      </c>
      <c r="E79" s="15" t="s">
        <v>4768</v>
      </c>
      <c r="F79" s="15">
        <v>56220.0</v>
      </c>
      <c r="G79" s="15" t="s">
        <v>42</v>
      </c>
      <c r="H79" s="15" t="s">
        <v>4769</v>
      </c>
      <c r="I79" s="15"/>
      <c r="J79" s="53" t="s">
        <v>4771</v>
      </c>
      <c r="K79" s="25" t="s">
        <v>4773</v>
      </c>
      <c r="L79" s="30"/>
      <c r="M79" s="15"/>
      <c r="N79" s="15"/>
      <c r="O79" s="15"/>
      <c r="P79" s="15" t="s">
        <v>92</v>
      </c>
    </row>
    <row r="80" ht="15.75" customHeight="1">
      <c r="B80" s="15" t="s">
        <v>4790</v>
      </c>
      <c r="C80" s="15" t="s">
        <v>3393</v>
      </c>
      <c r="D80" s="15" t="s">
        <v>591</v>
      </c>
      <c r="E80" s="15" t="s">
        <v>4791</v>
      </c>
      <c r="F80" s="15">
        <v>56220.0</v>
      </c>
      <c r="G80" s="15" t="s">
        <v>42</v>
      </c>
      <c r="H80" s="15" t="s">
        <v>4794</v>
      </c>
      <c r="I80" s="15"/>
      <c r="J80" s="53" t="s">
        <v>4795</v>
      </c>
      <c r="K80" s="25" t="s">
        <v>4797</v>
      </c>
      <c r="L80" s="15"/>
      <c r="M80" s="15"/>
      <c r="N80" s="15"/>
      <c r="O80" s="15"/>
      <c r="P80" s="15" t="s">
        <v>92</v>
      </c>
    </row>
    <row r="81" ht="15.75" customHeight="1">
      <c r="B81" s="15" t="s">
        <v>4812</v>
      </c>
      <c r="C81" s="15" t="s">
        <v>3393</v>
      </c>
      <c r="D81" s="15" t="s">
        <v>591</v>
      </c>
      <c r="E81" s="15" t="s">
        <v>4814</v>
      </c>
      <c r="F81" s="15">
        <v>56170.0</v>
      </c>
      <c r="G81" s="15" t="s">
        <v>42</v>
      </c>
      <c r="H81" s="15" t="s">
        <v>4816</v>
      </c>
      <c r="I81" s="15"/>
      <c r="J81" s="53" t="s">
        <v>4818</v>
      </c>
      <c r="K81" s="25" t="s">
        <v>4819</v>
      </c>
      <c r="L81" s="15"/>
      <c r="M81" s="15"/>
      <c r="N81" s="15"/>
      <c r="O81" s="15"/>
      <c r="P81" s="15" t="s">
        <v>92</v>
      </c>
    </row>
    <row r="82" ht="15.75" customHeight="1">
      <c r="B82" s="15" t="s">
        <v>4835</v>
      </c>
      <c r="C82" s="15" t="s">
        <v>3393</v>
      </c>
      <c r="D82" s="15" t="s">
        <v>591</v>
      </c>
      <c r="E82" s="15" t="s">
        <v>4814</v>
      </c>
      <c r="F82" s="15">
        <v>56170.0</v>
      </c>
      <c r="G82" s="15" t="s">
        <v>42</v>
      </c>
      <c r="H82" s="15" t="s">
        <v>4838</v>
      </c>
      <c r="I82" s="15"/>
      <c r="J82" s="53" t="s">
        <v>4839</v>
      </c>
      <c r="K82" s="25" t="s">
        <v>4840</v>
      </c>
      <c r="L82" s="30"/>
      <c r="M82" s="15"/>
      <c r="N82" s="15"/>
      <c r="O82" s="15"/>
      <c r="P82" s="15" t="s">
        <v>92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</sheetData>
  <mergeCells count="21">
    <mergeCell ref="H6:I6"/>
    <mergeCell ref="K15:L15"/>
    <mergeCell ref="K19:L19"/>
    <mergeCell ref="K21:L21"/>
    <mergeCell ref="K22:L22"/>
    <mergeCell ref="K24:L24"/>
    <mergeCell ref="K25:L25"/>
    <mergeCell ref="K56:L56"/>
    <mergeCell ref="H59:I59"/>
    <mergeCell ref="K59:L59"/>
    <mergeCell ref="H62:I62"/>
    <mergeCell ref="K63:L63"/>
    <mergeCell ref="K79:L79"/>
    <mergeCell ref="K82:L82"/>
    <mergeCell ref="K28:L28"/>
    <mergeCell ref="K32:L32"/>
    <mergeCell ref="K36:L36"/>
    <mergeCell ref="K44:L44"/>
    <mergeCell ref="K49:L49"/>
    <mergeCell ref="K50:L50"/>
    <mergeCell ref="K53:L53"/>
  </mergeCell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3"/>
    <hyperlink r:id="rId11" ref="K14"/>
    <hyperlink r:id="rId12" ref="K15"/>
    <hyperlink r:id="rId13" ref="K17"/>
    <hyperlink r:id="rId14" ref="K18"/>
    <hyperlink r:id="rId15" ref="K19"/>
    <hyperlink r:id="rId16" ref="K20"/>
    <hyperlink r:id="rId17" ref="K21"/>
    <hyperlink r:id="rId18" ref="K22"/>
    <hyperlink r:id="rId19" ref="K24"/>
    <hyperlink r:id="rId20" ref="K25"/>
    <hyperlink r:id="rId21" ref="K26"/>
    <hyperlink r:id="rId22" ref="K27"/>
    <hyperlink r:id="rId23" ref="K28"/>
    <hyperlink r:id="rId24" ref="K29"/>
    <hyperlink r:id="rId25" ref="K30"/>
    <hyperlink r:id="rId26" ref="K31"/>
    <hyperlink r:id="rId27" ref="K32"/>
    <hyperlink r:id="rId28" ref="K33"/>
    <hyperlink r:id="rId29" ref="K34"/>
    <hyperlink r:id="rId30" ref="K35"/>
    <hyperlink r:id="rId31" ref="K36"/>
    <hyperlink r:id="rId32" ref="K37"/>
    <hyperlink r:id="rId33" ref="K38"/>
    <hyperlink r:id="rId34" ref="K39"/>
    <hyperlink r:id="rId35" ref="K40"/>
    <hyperlink r:id="rId36" ref="K41"/>
    <hyperlink r:id="rId37" ref="K42"/>
    <hyperlink r:id="rId38" ref="K43"/>
    <hyperlink r:id="rId39" ref="K44"/>
    <hyperlink r:id="rId40" ref="K45"/>
    <hyperlink r:id="rId41" ref="K46"/>
    <hyperlink r:id="rId42" ref="K47"/>
    <hyperlink r:id="rId43" ref="K48"/>
    <hyperlink r:id="rId44" ref="K49"/>
    <hyperlink r:id="rId45" ref="K50"/>
    <hyperlink r:id="rId46" ref="K52"/>
    <hyperlink r:id="rId47" ref="K53"/>
    <hyperlink r:id="rId48" ref="K54"/>
    <hyperlink r:id="rId49" ref="K56"/>
    <hyperlink r:id="rId50" ref="K57"/>
    <hyperlink r:id="rId51" ref="K58"/>
    <hyperlink r:id="rId52" ref="K59"/>
    <hyperlink r:id="rId53" ref="K60"/>
    <hyperlink r:id="rId54" ref="K61"/>
    <hyperlink r:id="rId55" ref="K63"/>
    <hyperlink r:id="rId56" ref="K64"/>
    <hyperlink r:id="rId57" ref="K65"/>
    <hyperlink r:id="rId58" ref="K66"/>
    <hyperlink r:id="rId59" ref="K67"/>
    <hyperlink r:id="rId60" ref="K68"/>
    <hyperlink r:id="rId61" ref="K69"/>
    <hyperlink r:id="rId62" ref="K70"/>
    <hyperlink r:id="rId63" ref="K72"/>
    <hyperlink r:id="rId64" ref="K73"/>
    <hyperlink r:id="rId65" ref="K75"/>
    <hyperlink r:id="rId66" ref="K76"/>
    <hyperlink r:id="rId67" ref="K77"/>
    <hyperlink r:id="rId68" ref="K79"/>
    <hyperlink r:id="rId69" ref="K80"/>
    <hyperlink r:id="rId70" ref="K81"/>
    <hyperlink r:id="rId71" ref="K82"/>
  </hyperlinks>
  <printOptions/>
  <pageMargins bottom="1.0" footer="0.0" header="0.0" left="0.75" right="0.75" top="1.0"/>
  <pageSetup orientation="landscape"/>
  <drawing r:id="rId7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6.0"/>
    <col customWidth="1" min="4" max="4" width="30.0"/>
    <col customWidth="1" min="5" max="5" width="20.0"/>
    <col customWidth="1" min="6" max="6" width="6.0"/>
    <col customWidth="1" min="7" max="7" width="40.0"/>
    <col customWidth="1" min="8" max="8" width="16.0"/>
    <col customWidth="1" min="9" max="9" width="52.0"/>
  </cols>
  <sheetData>
    <row r="1">
      <c r="A1" s="8" t="s">
        <v>3371</v>
      </c>
      <c r="B1" s="8" t="s">
        <v>3</v>
      </c>
      <c r="C1" s="8" t="s">
        <v>3374</v>
      </c>
      <c r="D1" s="8" t="s">
        <v>3375</v>
      </c>
      <c r="E1" s="8" t="s">
        <v>12</v>
      </c>
      <c r="F1" s="8" t="s">
        <v>17</v>
      </c>
      <c r="G1" s="8" t="s">
        <v>20</v>
      </c>
      <c r="H1" s="8" t="s">
        <v>24</v>
      </c>
      <c r="I1" s="8" t="s">
        <v>3379</v>
      </c>
    </row>
    <row r="2">
      <c r="A2" s="15" t="s">
        <v>3382</v>
      </c>
      <c r="B2" s="15" t="s">
        <v>3385</v>
      </c>
      <c r="C2" s="30"/>
      <c r="D2" s="15" t="s">
        <v>3389</v>
      </c>
      <c r="E2" s="15" t="s">
        <v>1349</v>
      </c>
      <c r="F2" s="15">
        <v>35.0</v>
      </c>
      <c r="G2" s="15" t="s">
        <v>3391</v>
      </c>
      <c r="H2" s="15"/>
      <c r="I2" s="15" t="s">
        <v>3394</v>
      </c>
    </row>
    <row r="3">
      <c r="A3" s="15" t="s">
        <v>3382</v>
      </c>
      <c r="B3" s="15" t="s">
        <v>3385</v>
      </c>
      <c r="C3" s="15" t="s">
        <v>3396</v>
      </c>
      <c r="D3" s="15" t="s">
        <v>3397</v>
      </c>
      <c r="E3" s="15" t="s">
        <v>1349</v>
      </c>
      <c r="F3" s="15">
        <v>35.0</v>
      </c>
      <c r="G3" s="15" t="s">
        <v>3400</v>
      </c>
      <c r="H3" s="15" t="s">
        <v>3402</v>
      </c>
      <c r="I3" s="25" t="s">
        <v>3404</v>
      </c>
    </row>
    <row r="4">
      <c r="A4" s="15" t="s">
        <v>3382</v>
      </c>
      <c r="B4" s="15" t="s">
        <v>3385</v>
      </c>
      <c r="C4" s="15" t="s">
        <v>3423</v>
      </c>
      <c r="D4" s="15" t="s">
        <v>3424</v>
      </c>
      <c r="E4" s="15"/>
      <c r="F4" s="15">
        <v>35.0</v>
      </c>
      <c r="G4" s="15" t="s">
        <v>3428</v>
      </c>
      <c r="H4" s="15" t="s">
        <v>3429</v>
      </c>
      <c r="I4" s="25" t="s">
        <v>3404</v>
      </c>
    </row>
    <row r="5">
      <c r="A5" s="15" t="s">
        <v>3382</v>
      </c>
      <c r="B5" s="15" t="s">
        <v>3435</v>
      </c>
      <c r="C5" s="15" t="s">
        <v>3436</v>
      </c>
      <c r="D5" s="15" t="s">
        <v>3438</v>
      </c>
      <c r="E5" s="15" t="s">
        <v>3440</v>
      </c>
      <c r="F5" s="15">
        <v>49.0</v>
      </c>
      <c r="G5" s="15" t="s">
        <v>3442</v>
      </c>
      <c r="H5" s="15" t="s">
        <v>3444</v>
      </c>
      <c r="I5" s="15" t="s">
        <v>3446</v>
      </c>
    </row>
    <row r="6">
      <c r="A6" s="15" t="s">
        <v>3450</v>
      </c>
      <c r="B6" s="15" t="s">
        <v>3452</v>
      </c>
      <c r="C6" s="15"/>
      <c r="D6" s="15" t="s">
        <v>3454</v>
      </c>
      <c r="E6" s="15" t="s">
        <v>313</v>
      </c>
      <c r="F6" s="15">
        <v>44.0</v>
      </c>
      <c r="G6" s="15" t="s">
        <v>3458</v>
      </c>
      <c r="H6" s="15"/>
      <c r="I6" s="15" t="s">
        <v>3461</v>
      </c>
    </row>
    <row r="7">
      <c r="A7" s="15" t="s">
        <v>3450</v>
      </c>
      <c r="B7" s="15" t="s">
        <v>3463</v>
      </c>
      <c r="C7" s="15"/>
      <c r="D7" s="15" t="s">
        <v>3465</v>
      </c>
      <c r="E7" s="15" t="s">
        <v>616</v>
      </c>
      <c r="F7" s="15">
        <v>49.0</v>
      </c>
      <c r="G7" s="15" t="s">
        <v>3469</v>
      </c>
      <c r="H7" s="15" t="s">
        <v>3470</v>
      </c>
      <c r="I7" s="15" t="s">
        <v>3471</v>
      </c>
    </row>
    <row r="8">
      <c r="A8" s="15" t="s">
        <v>3450</v>
      </c>
      <c r="B8" s="15" t="s">
        <v>3463</v>
      </c>
      <c r="C8" s="15"/>
      <c r="D8" s="15" t="s">
        <v>3474</v>
      </c>
      <c r="E8" s="15" t="s">
        <v>616</v>
      </c>
      <c r="F8" s="15">
        <v>49.0</v>
      </c>
      <c r="G8" s="15" t="s">
        <v>3476</v>
      </c>
      <c r="H8" s="30"/>
      <c r="I8" s="15" t="s">
        <v>3478</v>
      </c>
    </row>
    <row r="9">
      <c r="A9" s="15" t="s">
        <v>3450</v>
      </c>
      <c r="B9" s="15" t="s">
        <v>3463</v>
      </c>
      <c r="C9" s="15"/>
      <c r="D9" s="15" t="s">
        <v>3454</v>
      </c>
      <c r="E9" s="15" t="s">
        <v>616</v>
      </c>
      <c r="F9" s="15">
        <v>49.0</v>
      </c>
      <c r="G9" s="15" t="s">
        <v>3482</v>
      </c>
      <c r="H9" s="15"/>
      <c r="I9" s="15" t="s">
        <v>3478</v>
      </c>
    </row>
    <row r="10">
      <c r="A10" s="15" t="s">
        <v>3450</v>
      </c>
      <c r="B10" s="15" t="s">
        <v>3487</v>
      </c>
      <c r="C10" s="15"/>
      <c r="D10" s="15" t="s">
        <v>3492</v>
      </c>
      <c r="E10" s="15" t="s">
        <v>3493</v>
      </c>
      <c r="F10" s="15">
        <v>72.0</v>
      </c>
      <c r="G10" s="15" t="s">
        <v>3496</v>
      </c>
      <c r="H10" s="15" t="s">
        <v>3497</v>
      </c>
      <c r="I10" s="15" t="s">
        <v>3499</v>
      </c>
    </row>
    <row r="11">
      <c r="A11" s="15" t="s">
        <v>3450</v>
      </c>
      <c r="B11" s="15" t="s">
        <v>3502</v>
      </c>
      <c r="C11" s="15"/>
      <c r="D11" s="15" t="s">
        <v>3492</v>
      </c>
      <c r="E11" s="15" t="s">
        <v>3503</v>
      </c>
      <c r="F11" s="15">
        <v>29.0</v>
      </c>
      <c r="G11" s="15" t="s">
        <v>3505</v>
      </c>
      <c r="H11" s="15"/>
      <c r="I11" s="15" t="s">
        <v>3506</v>
      </c>
    </row>
    <row r="12">
      <c r="A12" s="15" t="s">
        <v>3507</v>
      </c>
      <c r="B12" s="15" t="s">
        <v>3509</v>
      </c>
      <c r="C12" s="15" t="s">
        <v>3511</v>
      </c>
      <c r="D12" s="15" t="s">
        <v>3512</v>
      </c>
      <c r="E12" s="15" t="s">
        <v>313</v>
      </c>
      <c r="F12" s="15">
        <v>44.0</v>
      </c>
      <c r="G12" s="15" t="s">
        <v>3513</v>
      </c>
      <c r="H12" s="15" t="s">
        <v>3515</v>
      </c>
      <c r="I12" s="15" t="s">
        <v>3516</v>
      </c>
    </row>
    <row r="13">
      <c r="A13" s="15" t="s">
        <v>3518</v>
      </c>
      <c r="B13" s="15" t="s">
        <v>3519</v>
      </c>
      <c r="C13" s="15" t="s">
        <v>3521</v>
      </c>
      <c r="D13" s="15" t="s">
        <v>3522</v>
      </c>
      <c r="E13" s="15" t="s">
        <v>2850</v>
      </c>
      <c r="F13" s="15">
        <v>44.0</v>
      </c>
      <c r="G13" s="15" t="s">
        <v>3524</v>
      </c>
      <c r="H13" s="15" t="s">
        <v>3525</v>
      </c>
      <c r="I13" s="15" t="s">
        <v>3526</v>
      </c>
    </row>
    <row r="14">
      <c r="A14" s="15" t="s">
        <v>3518</v>
      </c>
      <c r="B14" s="15" t="s">
        <v>3530</v>
      </c>
      <c r="C14" s="15"/>
      <c r="D14" s="15" t="s">
        <v>3531</v>
      </c>
      <c r="E14" s="15" t="s">
        <v>193</v>
      </c>
      <c r="F14" s="15">
        <v>44.0</v>
      </c>
      <c r="G14" s="15" t="s">
        <v>3534</v>
      </c>
      <c r="H14" s="15" t="s">
        <v>3536</v>
      </c>
      <c r="I14" s="15" t="s">
        <v>3538</v>
      </c>
    </row>
    <row r="15">
      <c r="A15" s="15" t="s">
        <v>3518</v>
      </c>
      <c r="B15" s="15" t="s">
        <v>3541</v>
      </c>
      <c r="C15" s="15"/>
      <c r="D15" s="15" t="s">
        <v>3531</v>
      </c>
      <c r="E15" s="15" t="s">
        <v>293</v>
      </c>
      <c r="F15" s="15">
        <v>44.0</v>
      </c>
      <c r="G15" s="15" t="s">
        <v>3543</v>
      </c>
      <c r="H15" s="15" t="s">
        <v>3544</v>
      </c>
      <c r="I15" s="15" t="s">
        <v>3538</v>
      </c>
    </row>
    <row r="16">
      <c r="A16" s="15" t="s">
        <v>3518</v>
      </c>
      <c r="B16" s="15" t="s">
        <v>3547</v>
      </c>
      <c r="C16" s="15"/>
      <c r="D16" s="15" t="s">
        <v>3531</v>
      </c>
      <c r="E16" s="15" t="s">
        <v>1449</v>
      </c>
      <c r="F16" s="15">
        <v>35.0</v>
      </c>
      <c r="G16" s="15" t="s">
        <v>3549</v>
      </c>
      <c r="H16" s="15" t="s">
        <v>3551</v>
      </c>
      <c r="I16" s="15" t="s">
        <v>3553</v>
      </c>
    </row>
    <row r="17">
      <c r="A17" s="15" t="s">
        <v>3555</v>
      </c>
      <c r="B17" s="15" t="s">
        <v>3556</v>
      </c>
      <c r="C17" s="15"/>
      <c r="D17" s="15" t="s">
        <v>3557</v>
      </c>
      <c r="E17" s="15" t="s">
        <v>3559</v>
      </c>
      <c r="F17" s="15">
        <v>44.0</v>
      </c>
      <c r="G17" s="15" t="s">
        <v>3560</v>
      </c>
      <c r="H17" s="15" t="s">
        <v>3561</v>
      </c>
      <c r="I17" s="15" t="s">
        <v>3563</v>
      </c>
    </row>
    <row r="18">
      <c r="A18" s="15" t="s">
        <v>3555</v>
      </c>
      <c r="B18" s="15" t="s">
        <v>3566</v>
      </c>
      <c r="C18" s="15"/>
      <c r="D18" s="15" t="s">
        <v>3567</v>
      </c>
      <c r="E18" s="15" t="s">
        <v>313</v>
      </c>
      <c r="F18" s="15">
        <v>44.0</v>
      </c>
      <c r="G18" s="15" t="s">
        <v>3570</v>
      </c>
      <c r="H18" s="15" t="s">
        <v>3572</v>
      </c>
      <c r="I18" s="15" t="s">
        <v>3573</v>
      </c>
    </row>
    <row r="19">
      <c r="A19" s="15" t="s">
        <v>3555</v>
      </c>
      <c r="B19" s="15" t="s">
        <v>3575</v>
      </c>
      <c r="C19" s="15"/>
      <c r="D19" s="15" t="s">
        <v>3576</v>
      </c>
      <c r="E19" s="15" t="s">
        <v>813</v>
      </c>
      <c r="F19" s="15">
        <v>44.0</v>
      </c>
      <c r="G19" s="15" t="s">
        <v>3577</v>
      </c>
      <c r="H19" s="15" t="s">
        <v>3578</v>
      </c>
      <c r="I19" s="15" t="s">
        <v>3580</v>
      </c>
    </row>
    <row r="20" ht="15.75" customHeight="1">
      <c r="A20" s="13" t="s">
        <v>3582</v>
      </c>
      <c r="B20" s="13" t="s">
        <v>3583</v>
      </c>
      <c r="C20" s="13"/>
      <c r="D20" s="13" t="s">
        <v>3586</v>
      </c>
      <c r="E20" s="13" t="s">
        <v>616</v>
      </c>
      <c r="F20" s="13">
        <v>49.0</v>
      </c>
      <c r="G20" s="13" t="s">
        <v>3590</v>
      </c>
      <c r="H20" s="13"/>
      <c r="I20" s="13" t="s">
        <v>3563</v>
      </c>
    </row>
    <row r="21" ht="15.75" customHeight="1">
      <c r="A21" s="13" t="s">
        <v>3593</v>
      </c>
      <c r="B21" s="13" t="s">
        <v>3594</v>
      </c>
      <c r="C21" s="13"/>
      <c r="D21" s="13" t="s">
        <v>3596</v>
      </c>
      <c r="E21" s="13" t="s">
        <v>1422</v>
      </c>
      <c r="F21" s="13">
        <v>53.0</v>
      </c>
      <c r="G21" s="13" t="s">
        <v>3598</v>
      </c>
      <c r="H21" s="13"/>
      <c r="I21" s="13" t="s">
        <v>3563</v>
      </c>
    </row>
    <row r="22" ht="15.75" customHeight="1">
      <c r="A22" s="13" t="s">
        <v>3601</v>
      </c>
      <c r="B22" s="13" t="s">
        <v>3602</v>
      </c>
      <c r="C22" s="13" t="s">
        <v>3604</v>
      </c>
      <c r="D22" s="13" t="s">
        <v>3605</v>
      </c>
      <c r="E22" s="13" t="s">
        <v>2062</v>
      </c>
      <c r="F22" s="13">
        <v>56.0</v>
      </c>
      <c r="G22" s="13" t="s">
        <v>3607</v>
      </c>
      <c r="H22" s="13"/>
      <c r="I22" s="13" t="s">
        <v>3609</v>
      </c>
    </row>
    <row r="23" ht="15.75" customHeight="1">
      <c r="A23" s="13" t="s">
        <v>3611</v>
      </c>
      <c r="B23" s="13" t="s">
        <v>3612</v>
      </c>
      <c r="C23" s="13"/>
      <c r="D23" s="13" t="s">
        <v>3614</v>
      </c>
      <c r="E23" s="13" t="s">
        <v>1937</v>
      </c>
      <c r="F23" s="13">
        <v>85.0</v>
      </c>
      <c r="G23" s="13" t="s">
        <v>3616</v>
      </c>
      <c r="H23" s="13"/>
      <c r="I23" s="13" t="s">
        <v>3620</v>
      </c>
    </row>
    <row r="24" ht="15.75" customHeight="1">
      <c r="A24" s="13" t="s">
        <v>3621</v>
      </c>
      <c r="B24" s="13" t="s">
        <v>3623</v>
      </c>
      <c r="C24" s="13"/>
      <c r="D24" s="13" t="s">
        <v>3626</v>
      </c>
      <c r="E24" s="13" t="s">
        <v>3628</v>
      </c>
      <c r="F24" s="13">
        <v>85.0</v>
      </c>
      <c r="G24" s="13" t="s">
        <v>3630</v>
      </c>
      <c r="H24" s="13" t="s">
        <v>3631</v>
      </c>
      <c r="I24" s="13" t="s">
        <v>3633</v>
      </c>
    </row>
    <row r="25" ht="15.75" customHeight="1">
      <c r="A25" s="13" t="s">
        <v>3621</v>
      </c>
      <c r="B25" s="13" t="s">
        <v>3638</v>
      </c>
      <c r="C25" s="13"/>
      <c r="D25" s="13" t="s">
        <v>3492</v>
      </c>
      <c r="E25" s="13" t="s">
        <v>1937</v>
      </c>
      <c r="F25" s="13">
        <v>85.0</v>
      </c>
      <c r="G25" s="13" t="s">
        <v>3641</v>
      </c>
      <c r="H25" s="13" t="s">
        <v>3642</v>
      </c>
      <c r="I25" s="13" t="s">
        <v>3644</v>
      </c>
    </row>
    <row r="26" ht="15.75" customHeight="1">
      <c r="A26" s="13" t="s">
        <v>3518</v>
      </c>
      <c r="B26" s="13" t="s">
        <v>3646</v>
      </c>
      <c r="C26" s="13"/>
      <c r="D26" s="13" t="s">
        <v>3531</v>
      </c>
      <c r="E26" s="13" t="s">
        <v>1422</v>
      </c>
      <c r="F26" s="13">
        <v>53.0</v>
      </c>
      <c r="G26" s="13" t="s">
        <v>3649</v>
      </c>
      <c r="H26" s="13" t="s">
        <v>3650</v>
      </c>
      <c r="I26" s="13" t="s">
        <v>3651</v>
      </c>
    </row>
    <row r="27" ht="15.75" customHeight="1">
      <c r="A27" s="13" t="s">
        <v>3518</v>
      </c>
      <c r="B27" s="13" t="s">
        <v>3654</v>
      </c>
      <c r="C27" s="13"/>
      <c r="D27" s="13" t="s">
        <v>3531</v>
      </c>
      <c r="E27" s="13" t="s">
        <v>2156</v>
      </c>
      <c r="F27" s="13">
        <v>56.0</v>
      </c>
      <c r="G27" s="13" t="s">
        <v>3656</v>
      </c>
      <c r="H27" s="13" t="s">
        <v>3658</v>
      </c>
      <c r="I27" s="13" t="s">
        <v>3660</v>
      </c>
    </row>
    <row r="28" ht="15.75" customHeight="1">
      <c r="A28" s="13" t="s">
        <v>3518</v>
      </c>
      <c r="B28" s="13" t="s">
        <v>3663</v>
      </c>
      <c r="C28" s="13"/>
      <c r="D28" s="13" t="s">
        <v>3531</v>
      </c>
      <c r="E28" s="13" t="s">
        <v>1937</v>
      </c>
      <c r="F28" s="13">
        <v>85.0</v>
      </c>
      <c r="G28" s="13" t="s">
        <v>3667</v>
      </c>
      <c r="H28" s="13" t="s">
        <v>3668</v>
      </c>
      <c r="I28" s="13" t="s">
        <v>3671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2:C2"/>
    <mergeCell ref="G8:H8"/>
  </mergeCells>
  <hyperlinks>
    <hyperlink r:id="rId1" ref="I3"/>
    <hyperlink r:id="rId2" ref="I4"/>
  </hyperlinks>
  <printOptions/>
  <pageMargins bottom="1.0" footer="0.0" header="0.0" left="0.75" right="0.75" top="1.0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